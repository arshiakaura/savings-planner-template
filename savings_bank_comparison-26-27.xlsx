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isclaimers" sheetId="2" state="visible" r:id="rId4"/>
    <sheet name="Glossary" sheetId="3" state="visible" r:id="rId5"/>
    <sheet name="My Inputs" sheetId="4" state="visible" r:id="rId6"/>
    <sheet name="Bank Products" sheetId="5" state="visible" r:id="rId7"/>
    <sheet name="Projection" sheetId="6" state="visible" r:id="rId8"/>
    <sheet name="Dashboard"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<sst xmlns="http://schemas.openxmlformats.org/spreadsheetml/2006/main" count="252" uniqueCount="214">
  <si>
    <t xml:space="preserve">Savings Comparison: Start Here</t>
  </si>
  <si>
    <t xml:space="preserve">1. On 'My Inputs', fill in the yellow cells: how much you can save each month, your down payment goal, and how many years to project.</t>
  </si>
  <si>
    <t xml:space="preserve">2. On 'Bank Products', the rates and fees are illustrative values made for this project. Check each bank's website for current figures before relying on them.</t>
  </si>
  <si>
    <t xml:space="preserve">3. Look at 'Dashboard' for the balance each option reaches, what it cost you in fees, and how long it takes to reach your goal.</t>
  </si>
  <si>
    <t xml:space="preserve">Colour key: yellow cells with blue text are things you type. Everything else is a formula, so don't type over it.</t>
  </si>
  <si>
    <t xml:space="preserve">Assumptions: contributions are added once a year and returns compound yearly. This is a simple approximation, not bank advice.</t>
  </si>
  <si>
    <t xml:space="preserve">All rates and fees in this workbook are illustrative. They were made up for this project to show how the model works. They are not real bank offers.</t>
  </si>
  <si>
    <t xml:space="preserve">Stuck on a term? See the Glossary tab for plain-English definitions of GICs, MERs, TFSAs and more.</t>
  </si>
  <si>
    <t xml:space="preserve">Please read the Disclaimers tab before relying on any result.</t>
  </si>
  <si>
    <t xml:space="preserve">Disclaimers</t>
  </si>
  <si>
    <t xml:space="preserve">Please read this before relying on any result in this workbook. Last reviewed: October 2026.</t>
  </si>
  <si>
    <t xml:space="preserve">What this tool is</t>
  </si>
  <si>
    <t xml:space="preserve">•  A planning tool that shows how savings, fees, and time can affect a balance. It is for learning and rough comparisons, not for deciding where to put your money.</t>
  </si>
  <si>
    <t xml:space="preserve">•  It does not recommend any bank, product, or strategy.</t>
  </si>
  <si>
    <t xml:space="preserve">Illustrative numbers</t>
  </si>
  <si>
    <t xml:space="preserve">•  The rates and fund fees in this file are illustrative values made for this project, to show how the model works. They are not real bank rates, fees, or offers. Each bank's numbers are similar to the others only for illustration.</t>
  </si>
  <si>
    <t xml:space="preserve">•  Bank rates change often and some advertised rates depend on your balance, promotions, or conditions. Check the current terms directly with the bank before you rely on any result.</t>
  </si>
  <si>
    <t xml:space="preserve">•  Fund fees (MER) shown for index funds and ETFs are illustrative, not the fee of any specific fund.</t>
  </si>
  <si>
    <t xml:space="preserve">How the results are calculated</t>
  </si>
  <si>
    <t xml:space="preserve">•  Contributions are added once a year, and returns compound once a year. Monthly compounding would give slightly different results.</t>
  </si>
  <si>
    <t xml:space="preserve">•  Returns are assumed to be fixed. Real investment returns vary from year to year and can be negative, so actual results may be lower or higher.</t>
  </si>
  <si>
    <t xml:space="preserve">•  Taxes and inflation are not included. Registered accounts such as TFSAs, RRSPs, and FHSAs have tax rules that the projections do not calculate.</t>
  </si>
  <si>
    <t xml:space="preserve">•  Account fees are treated as fixed yearly dollar amounts, and the monthly savings amount is assumed to be available every month.</t>
  </si>
  <si>
    <t xml:space="preserve">Registered account and mortgage rules</t>
  </si>
  <si>
    <t xml:space="preserve">•  Figures on the Glossary tab were checked against public sources in October 2026. Limits and rules change, so confirm them with the Canada Revenue Agency (CRA), the Government of Canada, or your bank.</t>
  </si>
  <si>
    <t xml:space="preserve">•  Some details about the First Home Savings Account come from a source that reflects rules as of April 2023. Confirm them with the CRA before you act.</t>
  </si>
  <si>
    <t xml:space="preserve">Not financial advice</t>
  </si>
  <si>
    <t xml:space="preserve">•  Nothing in this file is financial, tax, legal, or investment advice. For decisions about your money, speak with a licensed professional who can consider your full situation.</t>
  </si>
  <si>
    <t xml:space="preserve">Glossary: common terms, in plain English</t>
  </si>
  <si>
    <t xml:space="preserve">Short definitions for the terms used in this workbook and in Canadian banking. Checked against public sources in October 2026. Rules and limits change, so confirm with the CRA, the Government of Canada, or your bank before acting.</t>
  </si>
  <si>
    <t xml:space="preserve">Term</t>
  </si>
  <si>
    <t xml:space="preserve">Also called</t>
  </si>
  <si>
    <t xml:space="preserve">What it means</t>
  </si>
  <si>
    <t xml:space="preserve">Example</t>
  </si>
  <si>
    <t xml:space="preserve">Where you'll see it here</t>
  </si>
  <si>
    <t xml:space="preserve">GIC</t>
  </si>
  <si>
    <t xml:space="preserve">Guaranteed Investment Certificate; term deposit</t>
  </si>
  <si>
    <t xml:space="preserve">You lend money to a bank for a set period at a fixed rate. Deposits at CDIC member banks are insured up to $100,000 per category, with principal and interest combined. Cashing out early usually costs you interest.</t>
  </si>
  <si>
    <t xml:space="preserve">$10,000 at 3.5% for 1 year earns about $350 in interest.</t>
  </si>
  <si>
    <t xml:space="preserve">The '1-year GIC' rows on Bank Products.</t>
  </si>
  <si>
    <t xml:space="preserve">HISA</t>
  </si>
  <si>
    <t xml:space="preserve">High-interest savings account</t>
  </si>
  <si>
    <t xml:space="preserve">A savings account that pays more interest than a regular one. The rate can change at any time, but the money is easy to withdraw.</t>
  </si>
  <si>
    <t xml:space="preserve">$5,000 at 2% earns about $100 a year.</t>
  </si>
  <si>
    <t xml:space="preserve">The 'High-interest savings' rows on Bank Products.</t>
  </si>
  <si>
    <t xml:space="preserve">TFSA</t>
  </si>
  <si>
    <t xml:space="preserve">Tax-Free Savings Account</t>
  </si>
  <si>
    <t xml:space="preserve">A registered account where investments grow without tax. Withdrawals are tax-free, and the room comes back in January of the following year. If the investment lost value, the lost room is gone for good. The 2026 annual limit is $7,000.</t>
  </si>
  <si>
    <t xml:space="preserve">Growth inside the account is not taxed, even if it's large.</t>
  </si>
  <si>
    <t xml:space="preserve">Good for saving toward a house or other goals.</t>
  </si>
  <si>
    <t xml:space="preserve">FHSA</t>
  </si>
  <si>
    <t xml:space="preserve">First Home Savings Account</t>
  </si>
  <si>
    <t xml:space="preserve">A registered account for first-time home buyers who are Canadian residents aged 18 to 71. Contributions are tax-deductible, and qualifying withdrawals for a first home are tax-free. Limits: $8,000 a year and $40,000 for life, with unused annual room carried forward up to $8,000. The account must close by the earliest of: 15 years after opening, the year you turn 71, or the year after a qualifying withdrawal.</t>
  </si>
  <si>
    <t xml:space="preserve">Contributions reduce your taxable income in the year you make them.</t>
  </si>
  <si>
    <t xml:space="preserve">Relevant to the down payment goal on My Inputs. Check your eligibility.</t>
  </si>
  <si>
    <t xml:space="preserve">RRSP</t>
  </si>
  <si>
    <t xml:space="preserve">Registered Retirement Savings Plan</t>
  </si>
  <si>
    <t xml:space="preserve">A registered account for retirement. Contributions lower your taxable income now, but withdrawals are taxed later, with tax withheld at source. The 2026 limit is the lower of $33,810 or 18% of prior-year earned income, plus any carried-forward room. Room used by a withdrawal is not restored.</t>
  </si>
  <si>
    <t xml:space="preserve">Contributing $5,000 in a year where you pay tax at 30% can save about $1,500 in tax that year.</t>
  </si>
  <si>
    <t xml:space="preserve">Mostly for retirement, so it's less suited to a near-term house goal.</t>
  </si>
  <si>
    <t xml:space="preserve">Non-registered account</t>
  </si>
  <si>
    <t xml:space="preserve">Taxable investment account</t>
  </si>
  <si>
    <t xml:space="preserve">A regular investing account with no tax shelter. You pay tax on investment income and on profits when you sell.</t>
  </si>
  <si>
    <t xml:space="preserve">A $1,000 profit on a sale is taxed, depending on your tax bracket.</t>
  </si>
  <si>
    <t xml:space="preserve">The option when you've used up your TFSA or RRSP room.</t>
  </si>
  <si>
    <t xml:space="preserve">Interest rate</t>
  </si>
  <si>
    <t xml:space="preserve">Rate; APR (annual percentage rate) for loans</t>
  </si>
  <si>
    <t xml:space="preserve">The yearly cost of borrowing or the yearly return on savings, shown as a percentage of the amount.</t>
  </si>
  <si>
    <t xml:space="preserve">A 19.9% APR on a $4,000 balance adds about $800 in interest over a year if you pay nothing down.</t>
  </si>
  <si>
    <t xml:space="preserve">The APR on the debt inputs, and the rates on Bank Products.</t>
  </si>
  <si>
    <t xml:space="preserve">Compound interest</t>
  </si>
  <si>
    <t xml:space="preserve">Interest on interest</t>
  </si>
  <si>
    <t xml:space="preserve">You earn interest on your balance, and then the next period's interest is calculated on the bigger balance.</t>
  </si>
  <si>
    <t xml:space="preserve">$1,000 at 5%: $1,050 after year 1, then $1,102.50 after year 2.</t>
  </si>
  <si>
    <t xml:space="preserve">Why the Projection tab grows faster over time.</t>
  </si>
  <si>
    <t xml:space="preserve">Principal</t>
  </si>
  <si>
    <t xml:space="preserve">Original amount</t>
  </si>
  <si>
    <t xml:space="preserve">The amount you first invested or borrowed, before any interest.</t>
  </si>
  <si>
    <t xml:space="preserve">If you save $2,000 and it earns interest, $2,000 is the principal.</t>
  </si>
  <si>
    <t xml:space="preserve">Starting savings on My Inputs.</t>
  </si>
  <si>
    <t xml:space="preserve">Gross return</t>
  </si>
  <si>
    <t xml:space="preserve">Return before fees</t>
  </si>
  <si>
    <t xml:space="preserve">What an investment earns before any fees are taken out.</t>
  </si>
  <si>
    <t xml:space="preserve">A fund returning 6% before fees is a 6% gross return.</t>
  </si>
  <si>
    <t xml:space="preserve">The 'Gross annual return' column on Bank Products.</t>
  </si>
  <si>
    <t xml:space="preserve">Net return</t>
  </si>
  <si>
    <t xml:space="preserve">Return after fees</t>
  </si>
  <si>
    <t xml:space="preserve">What you actually keep after fees are taken out. This is the number that matters for your balance.</t>
  </si>
  <si>
    <t xml:space="preserve">6% gross minus a 0.25% MER gives a 5.75% net return.</t>
  </si>
  <si>
    <t xml:space="preserve">Calculated automatically on Bank Products.</t>
  </si>
  <si>
    <t xml:space="preserve">MER</t>
  </si>
  <si>
    <t xml:space="preserve">Management expense ratio</t>
  </si>
  <si>
    <t xml:space="preserve">The yearly fee a fund charges, as a percentage of your investment. It's taken out automatically, so you don't see a bill.</t>
  </si>
  <si>
    <t xml:space="preserve">A 0.25% MER on $10,000 costs about $25 a year.</t>
  </si>
  <si>
    <t xml:space="preserve">The 'Yearly fund fee (MER)' column on Bank Products.</t>
  </si>
  <si>
    <t xml:space="preserve">Account fee</t>
  </si>
  <si>
    <t xml:space="preserve">Annual fee</t>
  </si>
  <si>
    <t xml:space="preserve">A fixed fee in dollars that some accounts charge every year, separate from fund fees.</t>
  </si>
  <si>
    <t xml:space="preserve">A $50 yearly fee on a $2,000 balance is a 2.5% drag.</t>
  </si>
  <si>
    <t xml:space="preserve">The 'Yearly account fee' column on Bank Products.</t>
  </si>
  <si>
    <t xml:space="preserve">Mutual fund</t>
  </si>
  <si>
    <t xml:space="preserve">A pooled fund where a professional manager picks investments for many people. Usually has a higher MER than an ETF.</t>
  </si>
  <si>
    <t xml:space="preserve">Your $100 joins thousands of other people's money in one fund.</t>
  </si>
  <si>
    <t xml:space="preserve">One possible product type; check its MER first.</t>
  </si>
  <si>
    <t xml:space="preserve">ETF</t>
  </si>
  <si>
    <t xml:space="preserve">Exchange-traded fund</t>
  </si>
  <si>
    <t xml:space="preserve">A basket of investments that trades on the stock exchange like a single stock. Often has low fees.</t>
  </si>
  <si>
    <t xml:space="preserve">Buying one share of an ETF gives you a small piece of many companies.</t>
  </si>
  <si>
    <t xml:space="preserve">Often the 'Index fund / ETF' row on Bank Products.</t>
  </si>
  <si>
    <t xml:space="preserve">Index fund</t>
  </si>
  <si>
    <t xml:space="preserve">Passive fund</t>
  </si>
  <si>
    <t xml:space="preserve">A fund that copies a market index, such as the S&amp;P/TSX Composite, instead of trying to beat it. Usually has low fees.</t>
  </si>
  <si>
    <t xml:space="preserve">An index fund holding the whole TSX tracks the index's returns.</t>
  </si>
  <si>
    <t xml:space="preserve">The 'Index fund / ETF' row on Bank Products.</t>
  </si>
  <si>
    <t xml:space="preserve">Stock</t>
  </si>
  <si>
    <t xml:space="preserve">Share; equity</t>
  </si>
  <si>
    <t xml:space="preserve">A piece of ownership in a company. Its price can rise or fall.</t>
  </si>
  <si>
    <t xml:space="preserve">Owning one share of a company makes you a part-owner.</t>
  </si>
  <si>
    <t xml:space="preserve">Usually held inside funds rather than bought directly.</t>
  </si>
  <si>
    <t xml:space="preserve">Bond</t>
  </si>
  <si>
    <t xml:space="preserve">Fixed-income investment</t>
  </si>
  <si>
    <t xml:space="preserve">A loan you make to a government or company, which pays you interest and returns your money on a set date.</t>
  </si>
  <si>
    <t xml:space="preserve">A $1,000 bond at 4% pays about $40 a year until it matures.</t>
  </si>
  <si>
    <t xml:space="preserve">Less common in this workbook, but often part of a fund.</t>
  </si>
  <si>
    <t xml:space="preserve">Capital gain</t>
  </si>
  <si>
    <t xml:space="preserve">Profit on a sale</t>
  </si>
  <si>
    <t xml:space="preserve">The profit when you sell an investment for more than you paid.</t>
  </si>
  <si>
    <t xml:space="preserve">Buying at $50 and selling at $70 is a $20 capital gain per share.</t>
  </si>
  <si>
    <t xml:space="preserve">Taxable in a non-registered account, not in a TFSA.</t>
  </si>
  <si>
    <t xml:space="preserve">Dividend</t>
  </si>
  <si>
    <t xml:space="preserve">Company payout</t>
  </si>
  <si>
    <t xml:space="preserve">A cash payment some companies make to shareholders from their profits.</t>
  </si>
  <si>
    <t xml:space="preserve">A $1 dividend per share on 100 shares pays you $100.</t>
  </si>
  <si>
    <t xml:space="preserve">Can be taxable in a non-registered account.</t>
  </si>
  <si>
    <t xml:space="preserve">Dollar-cost averaging</t>
  </si>
  <si>
    <t xml:space="preserve">Regular investing</t>
  </si>
  <si>
    <t xml:space="preserve">Investing the same amount on a set schedule, so you buy more when prices are low and less when they're high.</t>
  </si>
  <si>
    <t xml:space="preserve">Saving $500 a month into an index fund, no matter what the market is doing.</t>
  </si>
  <si>
    <t xml:space="preserve">The monthly savings amount on My Inputs.</t>
  </si>
  <si>
    <t xml:space="preserve">Inflation</t>
  </si>
  <si>
    <t xml:space="preserve">Rising prices</t>
  </si>
  <si>
    <t xml:space="preserve">The general increase in prices over time, which reduces what your money can buy.</t>
  </si>
  <si>
    <t xml:space="preserve">At 2% inflation, $100 buys about $98 of goods a year later.</t>
  </si>
  <si>
    <t xml:space="preserve">Not in the calculations, but it's why returns above inflation matter.</t>
  </si>
  <si>
    <t xml:space="preserve">Liquidity</t>
  </si>
  <si>
    <t xml:space="preserve">How easily you can access cash</t>
  </si>
  <si>
    <t xml:space="preserve">How quickly you can turn an investment into cash without losing much value.</t>
  </si>
  <si>
    <t xml:space="preserve">A HISA is very liquid; a GIC is less liquid because early withdrawal costs interest.</t>
  </si>
  <si>
    <t xml:space="preserve">Think about this before locking money into a GIC for a house.</t>
  </si>
  <si>
    <t xml:space="preserve">Down payment</t>
  </si>
  <si>
    <t xml:space="preserve">Upfront cash for a home</t>
  </si>
  <si>
    <t xml:space="preserve">The share of the home price you pay in cash. In Canada, paying less than 20% requires mortgage default insurance. Minimums are 5% on the first $500,000 and 10% on the portion above it. Homes priced at $1.5 million or more need 20% down.</t>
  </si>
  <si>
    <t xml:space="preserve">10% of a $450,000 home is a $45,000 down payment.</t>
  </si>
  <si>
    <t xml:space="preserve">The down payment goal on My Inputs.</t>
  </si>
  <si>
    <t xml:space="preserve">Amortization</t>
  </si>
  <si>
    <t xml:space="preserve">Total repayment period</t>
  </si>
  <si>
    <t xml:space="preserve">The total time it takes to repay a mortgage in full. A mortgage term is the contract length, which is often shorter.</t>
  </si>
  <si>
    <t xml:space="preserve">A 25-year amortization with a 5-year term means you renegotiate every 5 years.</t>
  </si>
  <si>
    <t xml:space="preserve">Not in the model, but it affects how much interest you pay on a mortgage.</t>
  </si>
  <si>
    <t xml:space="preserve">Fixed vs variable rate</t>
  </si>
  <si>
    <t xml:space="preserve">A fixed rate stays the same for the term. A variable rate moves with the prime rate, so your payment can change.</t>
  </si>
  <si>
    <t xml:space="preserve">A 5% fixed rate stays at 5%; a variable rate at prime + 0.5% rises if prime rises.</t>
  </si>
  <si>
    <t xml:space="preserve">Relevant if you borrow for a home later.</t>
  </si>
  <si>
    <t xml:space="preserve">Prime rate</t>
  </si>
  <si>
    <t xml:space="preserve">The benchmark rate banks use to price variable-rate loans. Each bank sets its own, but it usually follows the Bank of Canada's overnight policy rate and sits a few points above it.</t>
  </si>
  <si>
    <t xml:space="preserve">If the prime rate rises by 0.25%, a variable mortgage at prime + 0.5% rises by the same amount.</t>
  </si>
  <si>
    <t xml:space="preserve">Relevant to variable-rate debt.</t>
  </si>
  <si>
    <t xml:space="preserve">Minimum payment</t>
  </si>
  <si>
    <t xml:space="preserve">The smallest amount you must pay on a debt each month. Paying only the minimum keeps you in debt much longer.</t>
  </si>
  <si>
    <t xml:space="preserve">On a $4,000 card, paying only the minimum can take years to clear.</t>
  </si>
  <si>
    <t xml:space="preserve">Relevant to any debt you're paying off.</t>
  </si>
  <si>
    <t xml:space="preserve">My Inputs</t>
  </si>
  <si>
    <t xml:space="preserve">Only edit the yellow cells.</t>
  </si>
  <si>
    <t xml:space="preserve">Monthly amount I can save</t>
  </si>
  <si>
    <t xml:space="preserve">Money you can put aside each month.</t>
  </si>
  <si>
    <t xml:space="preserve">Down payment goal</t>
  </si>
  <si>
    <t xml:space="preserve">Example: 10% of a $450,000 home.</t>
  </si>
  <si>
    <t xml:space="preserve">Savings I already have</t>
  </si>
  <si>
    <t xml:space="preserve">Starting balance today.</t>
  </si>
  <si>
    <t xml:space="preserve">Years to project (1 to 30)</t>
  </si>
  <si>
    <t xml:space="preserve">Change this to see results over a different timeframe.</t>
  </si>
  <si>
    <t xml:space="preserve">Bank Products (ILLUSTRATIVE numbers for this project only)</t>
  </si>
  <si>
    <t xml:space="preserve">Gross return = yearly rate before costs. Fee (MER) = yearly fund management fee. Account fee = fixed $ per year. Net return is calculated for you. All numbers on this tab are illustrative values made for this project. They are not real bank rates or fees.</t>
  </si>
  <si>
    <t xml:space="preserve">Bank</t>
  </si>
  <si>
    <t xml:space="preserve">Product</t>
  </si>
  <si>
    <t xml:space="preserve">Gross annual return</t>
  </si>
  <si>
    <t xml:space="preserve">Yearly fund fee (MER)</t>
  </si>
  <si>
    <t xml:space="preserve">Net annual return (calculated)</t>
  </si>
  <si>
    <t xml:space="preserve">Yearly account fee ($)</t>
  </si>
  <si>
    <t xml:space="preserve">Where to check / notes</t>
  </si>
  <si>
    <t xml:space="preserve">RBC</t>
  </si>
  <si>
    <t xml:space="preserve">High-interest savings</t>
  </si>
  <si>
    <t xml:space="preserve">Illustrative value for this project, not a bank's rate</t>
  </si>
  <si>
    <t xml:space="preserve">1-year GIC</t>
  </si>
  <si>
    <t xml:space="preserve">Index fund / ETF</t>
  </si>
  <si>
    <t xml:space="preserve">TD</t>
  </si>
  <si>
    <t xml:space="preserve">BMO</t>
  </si>
  <si>
    <t xml:space="preserve">Scotiabank</t>
  </si>
  <si>
    <t xml:space="preserve">CIBC</t>
  </si>
  <si>
    <t xml:space="preserve">Year</t>
  </si>
  <si>
    <t xml:space="preserve">Dashboard: Where should my savings go?</t>
  </si>
  <si>
    <t xml:space="preserve">Everything here updates from My Inputs and Bank Products. Rates and fees are illustrative values for this project, not real bank offers.</t>
  </si>
  <si>
    <t xml:space="preserve">Best option for my timeframe:</t>
  </si>
  <si>
    <t xml:space="preserve">Balance it reaches:</t>
  </si>
  <si>
    <t xml:space="preserve">Years to reach my down payment goal:</t>
  </si>
  <si>
    <t xml:space="preserve">All schemes compared</t>
  </si>
  <si>
    <t xml:space="preserve">Balance after my timeframe</t>
  </si>
  <si>
    <t xml:space="preserve">Total I put in</t>
  </si>
  <si>
    <t xml:space="preserve">Growth from returns (after fees)</t>
  </si>
  <si>
    <t xml:space="preserve">Years to reach down payment</t>
  </si>
  <si>
    <t xml:space="preserve">Rank (1 = best)</t>
  </si>
  <si>
    <t xml:space="preserve">Highest</t>
  </si>
  <si>
    <t xml:space="preserve">Other schemes</t>
  </si>
  <si>
    <t xml:space="preserve">Bank and scheme</t>
  </si>
</sst>
</file>

<file path=xl/styles.xml><?xml version="1.0" encoding="utf-8"?>
<styleSheet xmlns="http://schemas.openxmlformats.org/spreadsheetml/2006/main">
  <numFmts count="7">
    <numFmt numFmtId="164" formatCode="General"/>
    <numFmt numFmtId="165" formatCode="\$#,##0;&quot;($&quot;#,##0\);\-"/>
    <numFmt numFmtId="166" formatCode="0"/>
    <numFmt numFmtId="167" formatCode="0.00%"/>
    <numFmt numFmtId="168" formatCode="General"/>
    <numFmt numFmtId="169" formatCode="\$#,##0;&quot;-$&quot;#,##0;;"/>
    <numFmt numFmtId="170" formatCode="\$#,##0"/>
  </numFmts>
  <fonts count="2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i val="true"/>
      <sz val="11"/>
      <name val="Arial"/>
      <family val="0"/>
      <charset val="1"/>
    </font>
    <font>
      <i val="true"/>
      <sz val="11"/>
      <color rgb="FFC00000"/>
      <name val="Arial"/>
      <family val="0"/>
      <charset val="1"/>
    </font>
    <font>
      <i val="true"/>
      <sz val="10"/>
      <name val="Arial"/>
      <family val="0"/>
      <charset val="1"/>
    </font>
    <font>
      <b val="true"/>
      <sz val="11"/>
      <name val="Arial"/>
      <family val="0"/>
      <charset val="1"/>
    </font>
    <font>
      <sz val="10"/>
      <name val="Arial"/>
      <family val="0"/>
      <charset val="1"/>
    </font>
    <font>
      <b val="true"/>
      <sz val="10"/>
      <color rgb="FFFFFFFF"/>
      <name val="Arial"/>
      <family val="0"/>
      <charset val="1"/>
    </font>
    <font>
      <b val="true"/>
      <sz val="10"/>
      <name val="Arial"/>
      <family val="0"/>
      <charset val="1"/>
    </font>
    <font>
      <sz val="11"/>
      <color rgb="FF0000FF"/>
      <name val="Arial"/>
      <family val="0"/>
      <charset val="1"/>
    </font>
    <font>
      <i val="true"/>
      <sz val="9"/>
      <color rgb="FF595959"/>
      <name val="Arial"/>
      <family val="0"/>
      <charset val="1"/>
    </font>
    <font>
      <b val="true"/>
      <sz val="9"/>
      <color rgb="FFFFFFFF"/>
      <name val="Arial"/>
      <family val="0"/>
      <charset val="1"/>
    </font>
    <font>
      <sz val="9"/>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D9E1F2"/>
        <bgColor rgb="FFD9D9D9"/>
      </patternFill>
    </fill>
    <fill>
      <patternFill patternType="solid">
        <fgColor rgb="FF1F4E78"/>
        <bgColor rgb="FF00336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5B9BD5"/>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Balance after my timeframe (highest in red)</a:t>
            </a:r>
          </a:p>
        </c:rich>
      </c:tx>
      <c:overlay val="0"/>
      <c:spPr>
        <a:noFill/>
        <a:ln w="0">
          <a:noFill/>
        </a:ln>
      </c:spPr>
    </c:title>
    <c:autoTitleDeleted val="0"/>
    <c:plotArea>
      <c:barChart>
        <c:barDir val="col"/>
        <c:grouping val="clustered"/>
        <c:varyColors val="0"/>
        <c:ser>
          <c:idx val="0"/>
          <c:order val="0"/>
          <c:tx>
            <c:strRef>
              <c:f>Dashboard!H8</c:f>
              <c:strCache>
                <c:ptCount val="1"/>
                <c:pt idx="0">
                  <c:v>Highest</c:v>
                </c:pt>
              </c:strCache>
            </c:strRef>
          </c:tx>
          <c:spPr>
            <a:solidFill>
              <a:srgbClr val="c00000"/>
            </a:solidFill>
            <a:ln w="0">
              <a:solidFill>
                <a:srgbClr val="c00000"/>
              </a:solidFill>
            </a:ln>
          </c:spPr>
          <c:invertIfNegative val="0"/>
          <c:dLbls>
            <c:numFmt formatCode="\$#,##0;&quot;-$&quot;#,##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Dashboard!$J$9:$J$23</c:f>
              <c:strCache>
                <c:ptCount val="15"/>
                <c:pt idx="0">
                  <c:v>RBC High-interest savings</c:v>
                </c:pt>
                <c:pt idx="1">
                  <c:v>RBC 1-year GIC</c:v>
                </c:pt>
                <c:pt idx="2">
                  <c:v>RBC Index fund / ETF</c:v>
                </c:pt>
                <c:pt idx="3">
                  <c:v>TD High-interest savings</c:v>
                </c:pt>
                <c:pt idx="4">
                  <c:v>TD 1-year GIC</c:v>
                </c:pt>
                <c:pt idx="5">
                  <c:v>TD Index fund / ETF</c:v>
                </c:pt>
                <c:pt idx="6">
                  <c:v>BMO High-interest savings</c:v>
                </c:pt>
                <c:pt idx="7">
                  <c:v>BMO 1-year GIC</c:v>
                </c:pt>
                <c:pt idx="8">
                  <c:v>BMO Index fund / ETF</c:v>
                </c:pt>
                <c:pt idx="9">
                  <c:v>Scotiabank High-interest savings</c:v>
                </c:pt>
                <c:pt idx="10">
                  <c:v>Scotiabank 1-year GIC</c:v>
                </c:pt>
                <c:pt idx="11">
                  <c:v>Scotiabank Index fund / ETF</c:v>
                </c:pt>
                <c:pt idx="12">
                  <c:v>CIBC High-interest savings</c:v>
                </c:pt>
                <c:pt idx="13">
                  <c:v>CIBC 1-year GIC</c:v>
                </c:pt>
                <c:pt idx="14">
                  <c:v>CIBC Index fund / ETF</c:v>
                </c:pt>
              </c:strCache>
            </c:strRef>
          </c:cat>
          <c:val>
            <c:numRef>
              <c:f>Dashboard!$H$9:$H$23</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87310.301889841</c:v>
                </c:pt>
              </c:numCache>
            </c:numRef>
          </c:val>
        </c:ser>
        <c:ser>
          <c:idx val="1"/>
          <c:order val="1"/>
          <c:tx>
            <c:strRef>
              <c:f>Dashboard!I8</c:f>
              <c:strCache>
                <c:ptCount val="1"/>
                <c:pt idx="0">
                  <c:v>Other schemes</c:v>
                </c:pt>
              </c:strCache>
            </c:strRef>
          </c:tx>
          <c:spPr>
            <a:solidFill>
              <a:srgbClr val="5b9bd5"/>
            </a:solidFill>
            <a:ln w="0">
              <a:solidFill>
                <a:srgbClr val="5b9bd5"/>
              </a:solidFill>
            </a:ln>
          </c:spPr>
          <c:invertIfNegative val="0"/>
          <c:dLbls>
            <c:numFmt formatCode="\$#,##0;&quot;-$&quot;#,##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Dashboard!$J$9:$J$23</c:f>
              <c:strCache>
                <c:ptCount val="15"/>
                <c:pt idx="0">
                  <c:v>RBC High-interest savings</c:v>
                </c:pt>
                <c:pt idx="1">
                  <c:v>RBC 1-year GIC</c:v>
                </c:pt>
                <c:pt idx="2">
                  <c:v>RBC Index fund / ETF</c:v>
                </c:pt>
                <c:pt idx="3">
                  <c:v>TD High-interest savings</c:v>
                </c:pt>
                <c:pt idx="4">
                  <c:v>TD 1-year GIC</c:v>
                </c:pt>
                <c:pt idx="5">
                  <c:v>TD Index fund / ETF</c:v>
                </c:pt>
                <c:pt idx="6">
                  <c:v>BMO High-interest savings</c:v>
                </c:pt>
                <c:pt idx="7">
                  <c:v>BMO 1-year GIC</c:v>
                </c:pt>
                <c:pt idx="8">
                  <c:v>BMO Index fund / ETF</c:v>
                </c:pt>
                <c:pt idx="9">
                  <c:v>Scotiabank High-interest savings</c:v>
                </c:pt>
                <c:pt idx="10">
                  <c:v>Scotiabank 1-year GIC</c:v>
                </c:pt>
                <c:pt idx="11">
                  <c:v>Scotiabank Index fund / ETF</c:v>
                </c:pt>
                <c:pt idx="12">
                  <c:v>CIBC High-interest savings</c:v>
                </c:pt>
                <c:pt idx="13">
                  <c:v>CIBC 1-year GIC</c:v>
                </c:pt>
                <c:pt idx="14">
                  <c:v>CIBC Index fund / ETF</c:v>
                </c:pt>
              </c:strCache>
            </c:strRef>
          </c:cat>
          <c:val>
            <c:numRef>
              <c:f>Dashboard!$I$9:$I$23</c:f>
              <c:numCache>
                <c:formatCode>\$#,##0;"($"#,##0\);\-</c:formatCode>
                <c:ptCount val="15"/>
                <c:pt idx="0">
                  <c:v>69847.4737909368</c:v>
                </c:pt>
                <c:pt idx="1">
                  <c:v>75240.1530838506</c:v>
                </c:pt>
                <c:pt idx="2">
                  <c:v>86154.833960781</c:v>
                </c:pt>
                <c:pt idx="3">
                  <c:v>69450.2813583852</c:v>
                </c:pt>
                <c:pt idx="4">
                  <c:v>75673.1490485899</c:v>
                </c:pt>
                <c:pt idx="5">
                  <c:v>85410.0196122971</c:v>
                </c:pt>
                <c:pt idx="6">
                  <c:v>69648.5713576116</c:v>
                </c:pt>
                <c:pt idx="7">
                  <c:v>75456.3175751837</c:v>
                </c:pt>
                <c:pt idx="8">
                  <c:v>86906.5464450554</c:v>
                </c:pt>
                <c:pt idx="9">
                  <c:v>69252.6019239623</c:v>
                </c:pt>
                <c:pt idx="10">
                  <c:v>76108.8210633238</c:v>
                </c:pt>
                <c:pt idx="11">
                  <c:v>84672.041447836</c:v>
                </c:pt>
                <c:pt idx="12">
                  <c:v>70046.9905329713</c:v>
                </c:pt>
                <c:pt idx="13">
                  <c:v>74809.8169599179</c:v>
                </c:pt>
                <c:pt idx="14">
                  <c:v>0</c:v>
                </c:pt>
              </c:numCache>
            </c:numRef>
          </c:val>
        </c:ser>
        <c:gapWidth val="60"/>
        <c:overlap val="100"/>
        <c:axId val="66706129"/>
        <c:axId val="2260844"/>
      </c:barChart>
      <c:catAx>
        <c:axId val="667061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60844"/>
        <c:crosses val="autoZero"/>
        <c:auto val="1"/>
        <c:lblAlgn val="ctr"/>
        <c:lblOffset val="100"/>
        <c:noMultiLvlLbl val="0"/>
      </c:catAx>
      <c:valAx>
        <c:axId val="226084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7061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24</xdr:row>
      <xdr:rowOff>160920</xdr:rowOff>
    </xdr:from>
    <xdr:to>
      <xdr:col>9</xdr:col>
      <xdr:colOff>1259280</xdr:colOff>
      <xdr:row>51</xdr:row>
      <xdr:rowOff>56880</xdr:rowOff>
    </xdr:to>
    <xdr:graphicFrame>
      <xdr:nvGraphicFramePr>
        <xdr:cNvPr id="0" name="Chart 1"/>
        <xdr:cNvGraphicFramePr/>
      </xdr:nvGraphicFramePr>
      <xdr:xfrm>
        <a:off x="0" y="5105520"/>
        <a:ext cx="1295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4" t="s">
        <v>6</v>
      </c>
    </row>
    <row r="10" customFormat="false" ht="15" hidden="false" customHeight="false" outlineLevel="0" collapsed="false">
      <c r="A10" s="3" t="s">
        <v>7</v>
      </c>
    </row>
    <row r="11" customFormat="false" ht="15" hidden="false" customHeight="false" outlineLevel="0" collapsed="false">
      <c r="A11" s="4"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9</v>
      </c>
    </row>
    <row r="2" customFormat="false" ht="15" hidden="false" customHeight="false" outlineLevel="0" collapsed="false">
      <c r="A2" s="5" t="s">
        <v>10</v>
      </c>
    </row>
    <row r="4" customFormat="false" ht="15" hidden="false" customHeight="false" outlineLevel="0" collapsed="false">
      <c r="A4" s="6" t="s">
        <v>11</v>
      </c>
    </row>
    <row r="5" customFormat="false" ht="23.85" hidden="false" customHeight="false" outlineLevel="0" collapsed="false">
      <c r="A5" s="7" t="s">
        <v>12</v>
      </c>
    </row>
    <row r="6" customFormat="false" ht="15" hidden="false" customHeight="false" outlineLevel="0" collapsed="false">
      <c r="A6" s="7" t="s">
        <v>13</v>
      </c>
    </row>
    <row r="8" customFormat="false" ht="15" hidden="false" customHeight="false" outlineLevel="0" collapsed="false">
      <c r="A8" s="6" t="s">
        <v>14</v>
      </c>
    </row>
    <row r="9" customFormat="false" ht="23.85" hidden="false" customHeight="false" outlineLevel="0" collapsed="false">
      <c r="A9" s="7" t="s">
        <v>15</v>
      </c>
    </row>
    <row r="10" customFormat="false" ht="23.85" hidden="false" customHeight="false" outlineLevel="0" collapsed="false">
      <c r="A10" s="7" t="s">
        <v>16</v>
      </c>
    </row>
    <row r="11" customFormat="false" ht="15" hidden="false" customHeight="false" outlineLevel="0" collapsed="false">
      <c r="A11" s="7" t="s">
        <v>17</v>
      </c>
    </row>
    <row r="13" customFormat="false" ht="15" hidden="false" customHeight="false" outlineLevel="0" collapsed="false">
      <c r="A13" s="6" t="s">
        <v>18</v>
      </c>
    </row>
    <row r="14" customFormat="false" ht="15" hidden="false" customHeight="false" outlineLevel="0" collapsed="false">
      <c r="A14" s="7" t="s">
        <v>19</v>
      </c>
    </row>
    <row r="15" customFormat="false" ht="15" hidden="false" customHeight="false" outlineLevel="0" collapsed="false">
      <c r="A15" s="7" t="s">
        <v>20</v>
      </c>
    </row>
    <row r="16" customFormat="false" ht="15" hidden="false" customHeight="false" outlineLevel="0" collapsed="false">
      <c r="A16" s="7" t="s">
        <v>21</v>
      </c>
    </row>
    <row r="17" customFormat="false" ht="15" hidden="false" customHeight="false" outlineLevel="0" collapsed="false">
      <c r="A17" s="7" t="s">
        <v>22</v>
      </c>
    </row>
    <row r="19" customFormat="false" ht="15" hidden="false" customHeight="false" outlineLevel="0" collapsed="false">
      <c r="A19" s="6" t="s">
        <v>23</v>
      </c>
    </row>
    <row r="20" customFormat="false" ht="23.85" hidden="false" customHeight="false" outlineLevel="0" collapsed="false">
      <c r="A20" s="7" t="s">
        <v>24</v>
      </c>
    </row>
    <row r="21" customFormat="false" ht="23.85" hidden="false" customHeight="false" outlineLevel="0" collapsed="false">
      <c r="A21" s="7" t="s">
        <v>25</v>
      </c>
    </row>
    <row r="23" customFormat="false" ht="15" hidden="false" customHeight="false" outlineLevel="0" collapsed="false">
      <c r="A23" s="6" t="s">
        <v>26</v>
      </c>
    </row>
    <row r="24" customFormat="false" ht="23.85" hidden="false" customHeight="false" outlineLevel="0" collapsed="false">
      <c r="A24" s="7"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60"/>
    <col collapsed="false" customWidth="true" hidden="false" outlineLevel="0" max="4" min="4" style="0" width="46"/>
    <col collapsed="false" customWidth="true" hidden="false" outlineLevel="0" max="5" min="5" style="0" width="40"/>
  </cols>
  <sheetData>
    <row r="1" customFormat="false" ht="17.35" hidden="false" customHeight="false" outlineLevel="0" collapsed="false">
      <c r="A1" s="1" t="s">
        <v>28</v>
      </c>
    </row>
    <row r="2" customFormat="false" ht="15" hidden="false" customHeight="false" outlineLevel="0" collapsed="false">
      <c r="A2" s="5" t="s">
        <v>29</v>
      </c>
    </row>
    <row r="4" customFormat="false" ht="15" hidden="false" customHeight="false" outlineLevel="0" collapsed="false">
      <c r="A4" s="8" t="s">
        <v>30</v>
      </c>
      <c r="B4" s="8" t="s">
        <v>31</v>
      </c>
      <c r="C4" s="8" t="s">
        <v>32</v>
      </c>
      <c r="D4" s="8" t="s">
        <v>33</v>
      </c>
      <c r="E4" s="8" t="s">
        <v>34</v>
      </c>
    </row>
    <row r="5" customFormat="false" ht="46.25" hidden="false" customHeight="false" outlineLevel="0" collapsed="false">
      <c r="A5" s="9" t="s">
        <v>35</v>
      </c>
      <c r="B5" s="10" t="s">
        <v>36</v>
      </c>
      <c r="C5" s="10" t="s">
        <v>37</v>
      </c>
      <c r="D5" s="10" t="s">
        <v>38</v>
      </c>
      <c r="E5" s="10" t="s">
        <v>39</v>
      </c>
    </row>
    <row r="6" customFormat="false" ht="23.85" hidden="false" customHeight="false" outlineLevel="0" collapsed="false">
      <c r="A6" s="9" t="s">
        <v>40</v>
      </c>
      <c r="B6" s="10" t="s">
        <v>41</v>
      </c>
      <c r="C6" s="10" t="s">
        <v>42</v>
      </c>
      <c r="D6" s="10" t="s">
        <v>43</v>
      </c>
      <c r="E6" s="10" t="s">
        <v>44</v>
      </c>
    </row>
    <row r="7" customFormat="false" ht="46.25" hidden="false" customHeight="false" outlineLevel="0" collapsed="false">
      <c r="A7" s="9" t="s">
        <v>45</v>
      </c>
      <c r="B7" s="10" t="s">
        <v>46</v>
      </c>
      <c r="C7" s="10" t="s">
        <v>47</v>
      </c>
      <c r="D7" s="10" t="s">
        <v>48</v>
      </c>
      <c r="E7" s="10" t="s">
        <v>49</v>
      </c>
    </row>
    <row r="8" customFormat="false" ht="68.65" hidden="false" customHeight="false" outlineLevel="0" collapsed="false">
      <c r="A8" s="9" t="s">
        <v>50</v>
      </c>
      <c r="B8" s="10" t="s">
        <v>51</v>
      </c>
      <c r="C8" s="10" t="s">
        <v>52</v>
      </c>
      <c r="D8" s="10" t="s">
        <v>53</v>
      </c>
      <c r="E8" s="10" t="s">
        <v>54</v>
      </c>
    </row>
    <row r="9" customFormat="false" ht="57.45" hidden="false" customHeight="false" outlineLevel="0" collapsed="false">
      <c r="A9" s="9" t="s">
        <v>55</v>
      </c>
      <c r="B9" s="10" t="s">
        <v>56</v>
      </c>
      <c r="C9" s="10" t="s">
        <v>57</v>
      </c>
      <c r="D9" s="10" t="s">
        <v>58</v>
      </c>
      <c r="E9" s="10" t="s">
        <v>59</v>
      </c>
    </row>
    <row r="10" customFormat="false" ht="23.85" hidden="false" customHeight="false" outlineLevel="0" collapsed="false">
      <c r="A10" s="9" t="s">
        <v>60</v>
      </c>
      <c r="B10" s="10" t="s">
        <v>61</v>
      </c>
      <c r="C10" s="10" t="s">
        <v>62</v>
      </c>
      <c r="D10" s="10" t="s">
        <v>63</v>
      </c>
      <c r="E10" s="10" t="s">
        <v>64</v>
      </c>
    </row>
    <row r="11" customFormat="false" ht="23.85" hidden="false" customHeight="false" outlineLevel="0" collapsed="false">
      <c r="A11" s="9" t="s">
        <v>65</v>
      </c>
      <c r="B11" s="10" t="s">
        <v>66</v>
      </c>
      <c r="C11" s="10" t="s">
        <v>67</v>
      </c>
      <c r="D11" s="10" t="s">
        <v>68</v>
      </c>
      <c r="E11" s="10" t="s">
        <v>69</v>
      </c>
    </row>
    <row r="12" customFormat="false" ht="23.85" hidden="false" customHeight="false" outlineLevel="0" collapsed="false">
      <c r="A12" s="9" t="s">
        <v>70</v>
      </c>
      <c r="B12" s="10" t="s">
        <v>71</v>
      </c>
      <c r="C12" s="10" t="s">
        <v>72</v>
      </c>
      <c r="D12" s="10" t="s">
        <v>73</v>
      </c>
      <c r="E12" s="10" t="s">
        <v>74</v>
      </c>
    </row>
    <row r="13" customFormat="false" ht="23.85" hidden="false" customHeight="false" outlineLevel="0" collapsed="false">
      <c r="A13" s="9" t="s">
        <v>75</v>
      </c>
      <c r="B13" s="10" t="s">
        <v>76</v>
      </c>
      <c r="C13" s="10" t="s">
        <v>77</v>
      </c>
      <c r="D13" s="10" t="s">
        <v>78</v>
      </c>
      <c r="E13" s="10" t="s">
        <v>79</v>
      </c>
    </row>
    <row r="14" customFormat="false" ht="23.85" hidden="false" customHeight="false" outlineLevel="0" collapsed="false">
      <c r="A14" s="9" t="s">
        <v>80</v>
      </c>
      <c r="B14" s="10" t="s">
        <v>81</v>
      </c>
      <c r="C14" s="10" t="s">
        <v>82</v>
      </c>
      <c r="D14" s="10" t="s">
        <v>83</v>
      </c>
      <c r="E14" s="10" t="s">
        <v>84</v>
      </c>
    </row>
    <row r="15" customFormat="false" ht="23.85" hidden="false" customHeight="false" outlineLevel="0" collapsed="false">
      <c r="A15" s="9" t="s">
        <v>85</v>
      </c>
      <c r="B15" s="10" t="s">
        <v>86</v>
      </c>
      <c r="C15" s="10" t="s">
        <v>87</v>
      </c>
      <c r="D15" s="10" t="s">
        <v>88</v>
      </c>
      <c r="E15" s="10" t="s">
        <v>89</v>
      </c>
    </row>
    <row r="16" customFormat="false" ht="23.85" hidden="false" customHeight="false" outlineLevel="0" collapsed="false">
      <c r="A16" s="9" t="s">
        <v>90</v>
      </c>
      <c r="B16" s="10" t="s">
        <v>91</v>
      </c>
      <c r="C16" s="10" t="s">
        <v>92</v>
      </c>
      <c r="D16" s="10" t="s">
        <v>93</v>
      </c>
      <c r="E16" s="10" t="s">
        <v>94</v>
      </c>
    </row>
    <row r="17" customFormat="false" ht="23.85" hidden="false" customHeight="false" outlineLevel="0" collapsed="false">
      <c r="A17" s="9" t="s">
        <v>95</v>
      </c>
      <c r="B17" s="10" t="s">
        <v>96</v>
      </c>
      <c r="C17" s="10" t="s">
        <v>97</v>
      </c>
      <c r="D17" s="10" t="s">
        <v>98</v>
      </c>
      <c r="E17" s="10" t="s">
        <v>99</v>
      </c>
    </row>
    <row r="18" customFormat="false" ht="23.85" hidden="false" customHeight="false" outlineLevel="0" collapsed="false">
      <c r="A18" s="9" t="s">
        <v>100</v>
      </c>
      <c r="B18" s="10"/>
      <c r="C18" s="10" t="s">
        <v>101</v>
      </c>
      <c r="D18" s="10" t="s">
        <v>102</v>
      </c>
      <c r="E18" s="10" t="s">
        <v>103</v>
      </c>
    </row>
    <row r="19" customFormat="false" ht="23.85" hidden="false" customHeight="false" outlineLevel="0" collapsed="false">
      <c r="A19" s="9" t="s">
        <v>104</v>
      </c>
      <c r="B19" s="10" t="s">
        <v>105</v>
      </c>
      <c r="C19" s="10" t="s">
        <v>106</v>
      </c>
      <c r="D19" s="10" t="s">
        <v>107</v>
      </c>
      <c r="E19" s="10" t="s">
        <v>108</v>
      </c>
    </row>
    <row r="20" customFormat="false" ht="23.85" hidden="false" customHeight="false" outlineLevel="0" collapsed="false">
      <c r="A20" s="9" t="s">
        <v>109</v>
      </c>
      <c r="B20" s="10" t="s">
        <v>110</v>
      </c>
      <c r="C20" s="10" t="s">
        <v>111</v>
      </c>
      <c r="D20" s="10" t="s">
        <v>112</v>
      </c>
      <c r="E20" s="10" t="s">
        <v>113</v>
      </c>
    </row>
    <row r="21" customFormat="false" ht="23.85" hidden="false" customHeight="false" outlineLevel="0" collapsed="false">
      <c r="A21" s="9" t="s">
        <v>114</v>
      </c>
      <c r="B21" s="10" t="s">
        <v>115</v>
      </c>
      <c r="C21" s="10" t="s">
        <v>116</v>
      </c>
      <c r="D21" s="10" t="s">
        <v>117</v>
      </c>
      <c r="E21" s="10" t="s">
        <v>118</v>
      </c>
    </row>
    <row r="22" customFormat="false" ht="23.85" hidden="false" customHeight="false" outlineLevel="0" collapsed="false">
      <c r="A22" s="9" t="s">
        <v>119</v>
      </c>
      <c r="B22" s="10" t="s">
        <v>120</v>
      </c>
      <c r="C22" s="10" t="s">
        <v>121</v>
      </c>
      <c r="D22" s="10" t="s">
        <v>122</v>
      </c>
      <c r="E22" s="10" t="s">
        <v>123</v>
      </c>
    </row>
    <row r="23" customFormat="false" ht="23.85" hidden="false" customHeight="false" outlineLevel="0" collapsed="false">
      <c r="A23" s="9" t="s">
        <v>124</v>
      </c>
      <c r="B23" s="10" t="s">
        <v>125</v>
      </c>
      <c r="C23" s="10" t="s">
        <v>126</v>
      </c>
      <c r="D23" s="10" t="s">
        <v>127</v>
      </c>
      <c r="E23" s="10" t="s">
        <v>128</v>
      </c>
    </row>
    <row r="24" customFormat="false" ht="15" hidden="false" customHeight="false" outlineLevel="0" collapsed="false">
      <c r="A24" s="9" t="s">
        <v>129</v>
      </c>
      <c r="B24" s="10" t="s">
        <v>130</v>
      </c>
      <c r="C24" s="10" t="s">
        <v>131</v>
      </c>
      <c r="D24" s="10" t="s">
        <v>132</v>
      </c>
      <c r="E24" s="10" t="s">
        <v>133</v>
      </c>
    </row>
    <row r="25" customFormat="false" ht="23.85" hidden="false" customHeight="false" outlineLevel="0" collapsed="false">
      <c r="A25" s="9" t="s">
        <v>134</v>
      </c>
      <c r="B25" s="10" t="s">
        <v>135</v>
      </c>
      <c r="C25" s="10" t="s">
        <v>136</v>
      </c>
      <c r="D25" s="10" t="s">
        <v>137</v>
      </c>
      <c r="E25" s="10" t="s">
        <v>138</v>
      </c>
    </row>
    <row r="26" customFormat="false" ht="23.85" hidden="false" customHeight="false" outlineLevel="0" collapsed="false">
      <c r="A26" s="9" t="s">
        <v>139</v>
      </c>
      <c r="B26" s="10" t="s">
        <v>140</v>
      </c>
      <c r="C26" s="10" t="s">
        <v>141</v>
      </c>
      <c r="D26" s="10" t="s">
        <v>142</v>
      </c>
      <c r="E26" s="10" t="s">
        <v>143</v>
      </c>
    </row>
    <row r="27" customFormat="false" ht="23.85" hidden="false" customHeight="false" outlineLevel="0" collapsed="false">
      <c r="A27" s="9" t="s">
        <v>144</v>
      </c>
      <c r="B27" s="10" t="s">
        <v>145</v>
      </c>
      <c r="C27" s="10" t="s">
        <v>146</v>
      </c>
      <c r="D27" s="10" t="s">
        <v>147</v>
      </c>
      <c r="E27" s="10" t="s">
        <v>148</v>
      </c>
    </row>
    <row r="28" customFormat="false" ht="46.25" hidden="false" customHeight="false" outlineLevel="0" collapsed="false">
      <c r="A28" s="9" t="s">
        <v>149</v>
      </c>
      <c r="B28" s="10" t="s">
        <v>150</v>
      </c>
      <c r="C28" s="10" t="s">
        <v>151</v>
      </c>
      <c r="D28" s="10" t="s">
        <v>152</v>
      </c>
      <c r="E28" s="10" t="s">
        <v>153</v>
      </c>
    </row>
    <row r="29" customFormat="false" ht="23.85" hidden="false" customHeight="false" outlineLevel="0" collapsed="false">
      <c r="A29" s="9" t="s">
        <v>154</v>
      </c>
      <c r="B29" s="10" t="s">
        <v>155</v>
      </c>
      <c r="C29" s="10" t="s">
        <v>156</v>
      </c>
      <c r="D29" s="10" t="s">
        <v>157</v>
      </c>
      <c r="E29" s="10" t="s">
        <v>158</v>
      </c>
    </row>
    <row r="30" customFormat="false" ht="23.85" hidden="false" customHeight="false" outlineLevel="0" collapsed="false">
      <c r="A30" s="9" t="s">
        <v>159</v>
      </c>
      <c r="B30" s="10"/>
      <c r="C30" s="10" t="s">
        <v>160</v>
      </c>
      <c r="D30" s="10" t="s">
        <v>161</v>
      </c>
      <c r="E30" s="10" t="s">
        <v>162</v>
      </c>
    </row>
    <row r="31" customFormat="false" ht="35.05" hidden="false" customHeight="false" outlineLevel="0" collapsed="false">
      <c r="A31" s="9" t="s">
        <v>163</v>
      </c>
      <c r="B31" s="10"/>
      <c r="C31" s="10" t="s">
        <v>164</v>
      </c>
      <c r="D31" s="10" t="s">
        <v>165</v>
      </c>
      <c r="E31" s="10" t="s">
        <v>166</v>
      </c>
    </row>
    <row r="32" customFormat="false" ht="23.85" hidden="false" customHeight="false" outlineLevel="0" collapsed="false">
      <c r="A32" s="9" t="s">
        <v>167</v>
      </c>
      <c r="B32" s="10"/>
      <c r="C32" s="10" t="s">
        <v>168</v>
      </c>
      <c r="D32" s="10" t="s">
        <v>169</v>
      </c>
      <c r="E32" s="10"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60"/>
  </cols>
  <sheetData>
    <row r="1" customFormat="false" ht="17.35" hidden="false" customHeight="false" outlineLevel="0" collapsed="false">
      <c r="A1" s="1" t="s">
        <v>171</v>
      </c>
    </row>
    <row r="2" customFormat="false" ht="15" hidden="false" customHeight="false" outlineLevel="0" collapsed="false">
      <c r="A2" s="5" t="s">
        <v>172</v>
      </c>
    </row>
    <row r="4" customFormat="false" ht="15" hidden="false" customHeight="false" outlineLevel="0" collapsed="false">
      <c r="A4" s="2" t="s">
        <v>173</v>
      </c>
      <c r="B4" s="11" t="n">
        <v>500</v>
      </c>
      <c r="C4" s="12" t="s">
        <v>174</v>
      </c>
    </row>
    <row r="5" customFormat="false" ht="15" hidden="false" customHeight="false" outlineLevel="0" collapsed="false">
      <c r="A5" s="2" t="s">
        <v>175</v>
      </c>
      <c r="B5" s="11" t="n">
        <v>45000</v>
      </c>
      <c r="C5" s="12" t="s">
        <v>176</v>
      </c>
    </row>
    <row r="6" customFormat="false" ht="15" hidden="false" customHeight="false" outlineLevel="0" collapsed="false">
      <c r="A6" s="2" t="s">
        <v>177</v>
      </c>
      <c r="B6" s="11" t="n">
        <v>2000</v>
      </c>
      <c r="C6" s="12" t="s">
        <v>178</v>
      </c>
    </row>
    <row r="7" customFormat="false" ht="15" hidden="false" customHeight="false" outlineLevel="0" collapsed="false">
      <c r="A7" s="2" t="s">
        <v>179</v>
      </c>
      <c r="B7" s="13" t="n">
        <v>10</v>
      </c>
      <c r="C7" s="12"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16"/>
    <col collapsed="false" customWidth="true" hidden="false" outlineLevel="0" max="6" min="4" style="0" width="18"/>
    <col collapsed="false" customWidth="true" hidden="false" outlineLevel="0" max="7" min="7" style="0" width="42"/>
  </cols>
  <sheetData>
    <row r="1" customFormat="false" ht="17.35" hidden="false" customHeight="false" outlineLevel="0" collapsed="false">
      <c r="A1" s="1" t="s">
        <v>181</v>
      </c>
    </row>
    <row r="2" customFormat="false" ht="15" hidden="false" customHeight="false" outlineLevel="0" collapsed="false">
      <c r="A2" s="5" t="s">
        <v>182</v>
      </c>
    </row>
    <row r="4" customFormat="false" ht="39.75" hidden="false" customHeight="true" outlineLevel="0" collapsed="false">
      <c r="A4" s="8" t="s">
        <v>183</v>
      </c>
      <c r="B4" s="8" t="s">
        <v>184</v>
      </c>
      <c r="C4" s="8" t="s">
        <v>185</v>
      </c>
      <c r="D4" s="8" t="s">
        <v>186</v>
      </c>
      <c r="E4" s="8" t="s">
        <v>187</v>
      </c>
      <c r="F4" s="8" t="s">
        <v>188</v>
      </c>
      <c r="G4" s="8" t="s">
        <v>189</v>
      </c>
    </row>
    <row r="5" customFormat="false" ht="15" hidden="false" customHeight="false" outlineLevel="0" collapsed="false">
      <c r="A5" s="2" t="s">
        <v>190</v>
      </c>
      <c r="B5" s="2" t="s">
        <v>191</v>
      </c>
      <c r="C5" s="14" t="n">
        <v>0.021</v>
      </c>
      <c r="D5" s="14" t="n">
        <v>0</v>
      </c>
      <c r="E5" s="15" t="n">
        <f aca="false">C5-D5</f>
        <v>0.021</v>
      </c>
      <c r="F5" s="11" t="n">
        <v>0</v>
      </c>
      <c r="G5" s="12" t="s">
        <v>192</v>
      </c>
    </row>
    <row r="6" customFormat="false" ht="15" hidden="false" customHeight="false" outlineLevel="0" collapsed="false">
      <c r="A6" s="2" t="s">
        <v>190</v>
      </c>
      <c r="B6" s="2" t="s">
        <v>193</v>
      </c>
      <c r="C6" s="14" t="n">
        <v>0.034</v>
      </c>
      <c r="D6" s="14" t="n">
        <v>0</v>
      </c>
      <c r="E6" s="15" t="n">
        <f aca="false">C6-D6</f>
        <v>0.034</v>
      </c>
      <c r="F6" s="11" t="n">
        <v>0</v>
      </c>
      <c r="G6" s="12" t="s">
        <v>192</v>
      </c>
    </row>
    <row r="7" customFormat="false" ht="15" hidden="false" customHeight="false" outlineLevel="0" collapsed="false">
      <c r="A7" s="2" t="s">
        <v>190</v>
      </c>
      <c r="B7" s="2" t="s">
        <v>194</v>
      </c>
      <c r="C7" s="14" t="n">
        <v>0.06</v>
      </c>
      <c r="D7" s="14" t="n">
        <v>0.0025</v>
      </c>
      <c r="E7" s="15" t="n">
        <f aca="false">C7-D7</f>
        <v>0.0575</v>
      </c>
      <c r="F7" s="11" t="n">
        <v>0</v>
      </c>
      <c r="G7" s="12" t="s">
        <v>192</v>
      </c>
    </row>
    <row r="8" customFormat="false" ht="15" hidden="false" customHeight="false" outlineLevel="0" collapsed="false">
      <c r="A8" s="2" t="s">
        <v>195</v>
      </c>
      <c r="B8" s="2" t="s">
        <v>191</v>
      </c>
      <c r="C8" s="14" t="n">
        <v>0.02</v>
      </c>
      <c r="D8" s="14" t="n">
        <v>0</v>
      </c>
      <c r="E8" s="15" t="n">
        <f aca="false">C8-D8</f>
        <v>0.02</v>
      </c>
      <c r="F8" s="11" t="n">
        <v>0</v>
      </c>
      <c r="G8" s="12" t="s">
        <v>192</v>
      </c>
    </row>
    <row r="9" customFormat="false" ht="15" hidden="false" customHeight="false" outlineLevel="0" collapsed="false">
      <c r="A9" s="2" t="s">
        <v>195</v>
      </c>
      <c r="B9" s="2" t="s">
        <v>193</v>
      </c>
      <c r="C9" s="14" t="n">
        <v>0.035</v>
      </c>
      <c r="D9" s="14" t="n">
        <v>0</v>
      </c>
      <c r="E9" s="15" t="n">
        <f aca="false">C9-D9</f>
        <v>0.035</v>
      </c>
      <c r="F9" s="11" t="n">
        <v>0</v>
      </c>
      <c r="G9" s="12" t="s">
        <v>192</v>
      </c>
    </row>
    <row r="10" customFormat="false" ht="15" hidden="false" customHeight="false" outlineLevel="0" collapsed="false">
      <c r="A10" s="2" t="s">
        <v>195</v>
      </c>
      <c r="B10" s="2" t="s">
        <v>194</v>
      </c>
      <c r="C10" s="14" t="n">
        <v>0.059</v>
      </c>
      <c r="D10" s="14" t="n">
        <v>0.003</v>
      </c>
      <c r="E10" s="15" t="n">
        <f aca="false">C10-D10</f>
        <v>0.056</v>
      </c>
      <c r="F10" s="11" t="n">
        <v>0</v>
      </c>
      <c r="G10" s="12" t="s">
        <v>192</v>
      </c>
    </row>
    <row r="11" customFormat="false" ht="15" hidden="false" customHeight="false" outlineLevel="0" collapsed="false">
      <c r="A11" s="2" t="s">
        <v>196</v>
      </c>
      <c r="B11" s="2" t="s">
        <v>191</v>
      </c>
      <c r="C11" s="14" t="n">
        <v>0.0205</v>
      </c>
      <c r="D11" s="14" t="n">
        <v>0</v>
      </c>
      <c r="E11" s="15" t="n">
        <f aca="false">C11-D11</f>
        <v>0.0205</v>
      </c>
      <c r="F11" s="11" t="n">
        <v>0</v>
      </c>
      <c r="G11" s="12" t="s">
        <v>192</v>
      </c>
    </row>
    <row r="12" customFormat="false" ht="15" hidden="false" customHeight="false" outlineLevel="0" collapsed="false">
      <c r="A12" s="2" t="s">
        <v>196</v>
      </c>
      <c r="B12" s="2" t="s">
        <v>193</v>
      </c>
      <c r="C12" s="14" t="n">
        <v>0.0345</v>
      </c>
      <c r="D12" s="14" t="n">
        <v>0</v>
      </c>
      <c r="E12" s="15" t="n">
        <f aca="false">C12-D12</f>
        <v>0.0345</v>
      </c>
      <c r="F12" s="11" t="n">
        <v>0</v>
      </c>
      <c r="G12" s="12" t="s">
        <v>192</v>
      </c>
    </row>
    <row r="13" customFormat="false" ht="15" hidden="false" customHeight="false" outlineLevel="0" collapsed="false">
      <c r="A13" s="2" t="s">
        <v>196</v>
      </c>
      <c r="B13" s="2" t="s">
        <v>194</v>
      </c>
      <c r="C13" s="14" t="n">
        <v>0.061</v>
      </c>
      <c r="D13" s="14" t="n">
        <v>0.002</v>
      </c>
      <c r="E13" s="15" t="n">
        <f aca="false">C13-D13</f>
        <v>0.059</v>
      </c>
      <c r="F13" s="11" t="n">
        <v>0</v>
      </c>
      <c r="G13" s="12" t="s">
        <v>192</v>
      </c>
    </row>
    <row r="14" customFormat="false" ht="15" hidden="false" customHeight="false" outlineLevel="0" collapsed="false">
      <c r="A14" s="2" t="s">
        <v>197</v>
      </c>
      <c r="B14" s="2" t="s">
        <v>191</v>
      </c>
      <c r="C14" s="14" t="n">
        <v>0.0195</v>
      </c>
      <c r="D14" s="14" t="n">
        <v>0</v>
      </c>
      <c r="E14" s="15" t="n">
        <f aca="false">C14-D14</f>
        <v>0.0195</v>
      </c>
      <c r="F14" s="11" t="n">
        <v>0</v>
      </c>
      <c r="G14" s="12" t="s">
        <v>192</v>
      </c>
    </row>
    <row r="15" customFormat="false" ht="15" hidden="false" customHeight="false" outlineLevel="0" collapsed="false">
      <c r="A15" s="2" t="s">
        <v>197</v>
      </c>
      <c r="B15" s="2" t="s">
        <v>193</v>
      </c>
      <c r="C15" s="14" t="n">
        <v>0.036</v>
      </c>
      <c r="D15" s="14" t="n">
        <v>0</v>
      </c>
      <c r="E15" s="15" t="n">
        <f aca="false">C15-D15</f>
        <v>0.036</v>
      </c>
      <c r="F15" s="11" t="n">
        <v>0</v>
      </c>
      <c r="G15" s="12" t="s">
        <v>192</v>
      </c>
    </row>
    <row r="16" customFormat="false" ht="15" hidden="false" customHeight="false" outlineLevel="0" collapsed="false">
      <c r="A16" s="2" t="s">
        <v>197</v>
      </c>
      <c r="B16" s="2" t="s">
        <v>194</v>
      </c>
      <c r="C16" s="14" t="n">
        <v>0.058</v>
      </c>
      <c r="D16" s="14" t="n">
        <v>0.0035</v>
      </c>
      <c r="E16" s="15" t="n">
        <f aca="false">C16-D16</f>
        <v>0.0545</v>
      </c>
      <c r="F16" s="11" t="n">
        <v>0</v>
      </c>
      <c r="G16" s="12" t="s">
        <v>192</v>
      </c>
    </row>
    <row r="17" customFormat="false" ht="15" hidden="false" customHeight="false" outlineLevel="0" collapsed="false">
      <c r="A17" s="2" t="s">
        <v>198</v>
      </c>
      <c r="B17" s="2" t="s">
        <v>191</v>
      </c>
      <c r="C17" s="14" t="n">
        <v>0.0215</v>
      </c>
      <c r="D17" s="14" t="n">
        <v>0</v>
      </c>
      <c r="E17" s="15" t="n">
        <f aca="false">C17-D17</f>
        <v>0.0215</v>
      </c>
      <c r="F17" s="11" t="n">
        <v>0</v>
      </c>
      <c r="G17" s="12" t="s">
        <v>192</v>
      </c>
    </row>
    <row r="18" customFormat="false" ht="15" hidden="false" customHeight="false" outlineLevel="0" collapsed="false">
      <c r="A18" s="2" t="s">
        <v>198</v>
      </c>
      <c r="B18" s="2" t="s">
        <v>193</v>
      </c>
      <c r="C18" s="14" t="n">
        <v>0.033</v>
      </c>
      <c r="D18" s="14" t="n">
        <v>0</v>
      </c>
      <c r="E18" s="15" t="n">
        <f aca="false">C18-D18</f>
        <v>0.033</v>
      </c>
      <c r="F18" s="11" t="n">
        <v>0</v>
      </c>
      <c r="G18" s="12" t="s">
        <v>192</v>
      </c>
    </row>
    <row r="19" customFormat="false" ht="15" hidden="false" customHeight="false" outlineLevel="0" collapsed="false">
      <c r="A19" s="2" t="s">
        <v>198</v>
      </c>
      <c r="B19" s="2" t="s">
        <v>194</v>
      </c>
      <c r="C19" s="14" t="n">
        <v>0.062</v>
      </c>
      <c r="D19" s="14" t="n">
        <v>0.0022</v>
      </c>
      <c r="E19" s="15" t="n">
        <f aca="false">C19-D19</f>
        <v>0.0598</v>
      </c>
      <c r="F19" s="11" t="n">
        <v>0</v>
      </c>
      <c r="G19" s="12" t="s">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16" min="2" style="0" width="15"/>
  </cols>
  <sheetData>
    <row r="1" customFormat="false" ht="48" hidden="false" customHeight="true" outlineLevel="0" collapsed="false">
      <c r="A1" s="16" t="s">
        <v>199</v>
      </c>
      <c r="B1" s="16" t="str">
        <f aca="false">'Bank Products'!A5&amp;" "&amp;'Bank Products'!B5</f>
        <v>RBC High-interest savings</v>
      </c>
      <c r="C1" s="16" t="str">
        <f aca="false">'Bank Products'!A6&amp;" "&amp;'Bank Products'!B6</f>
        <v>RBC 1-year GIC</v>
      </c>
      <c r="D1" s="16" t="str">
        <f aca="false">'Bank Products'!A7&amp;" "&amp;'Bank Products'!B7</f>
        <v>RBC Index fund / ETF</v>
      </c>
      <c r="E1" s="16" t="str">
        <f aca="false">'Bank Products'!A8&amp;" "&amp;'Bank Products'!B8</f>
        <v>TD High-interest savings</v>
      </c>
      <c r="F1" s="16" t="str">
        <f aca="false">'Bank Products'!A9&amp;" "&amp;'Bank Products'!B9</f>
        <v>TD 1-year GIC</v>
      </c>
      <c r="G1" s="16" t="str">
        <f aca="false">'Bank Products'!A10&amp;" "&amp;'Bank Products'!B10</f>
        <v>TD Index fund / ETF</v>
      </c>
      <c r="H1" s="16" t="str">
        <f aca="false">'Bank Products'!A11&amp;" "&amp;'Bank Products'!B11</f>
        <v>BMO High-interest savings</v>
      </c>
      <c r="I1" s="16" t="str">
        <f aca="false">'Bank Products'!A12&amp;" "&amp;'Bank Products'!B12</f>
        <v>BMO 1-year GIC</v>
      </c>
      <c r="J1" s="16" t="str">
        <f aca="false">'Bank Products'!A13&amp;" "&amp;'Bank Products'!B13</f>
        <v>BMO Index fund / ETF</v>
      </c>
      <c r="K1" s="16" t="str">
        <f aca="false">'Bank Products'!A14&amp;" "&amp;'Bank Products'!B14</f>
        <v>Scotiabank High-interest savings</v>
      </c>
      <c r="L1" s="16" t="str">
        <f aca="false">'Bank Products'!A15&amp;" "&amp;'Bank Products'!B15</f>
        <v>Scotiabank 1-year GIC</v>
      </c>
      <c r="M1" s="16" t="str">
        <f aca="false">'Bank Products'!A16&amp;" "&amp;'Bank Products'!B16</f>
        <v>Scotiabank Index fund / ETF</v>
      </c>
      <c r="N1" s="16" t="str">
        <f aca="false">'Bank Products'!A17&amp;" "&amp;'Bank Products'!B17</f>
        <v>CIBC High-interest savings</v>
      </c>
      <c r="O1" s="16" t="str">
        <f aca="false">'Bank Products'!A18&amp;" "&amp;'Bank Products'!B18</f>
        <v>CIBC 1-year GIC</v>
      </c>
      <c r="P1" s="16" t="str">
        <f aca="false">'Bank Products'!A19&amp;" "&amp;'Bank Products'!B19</f>
        <v>CIBC Index fund / ETF</v>
      </c>
    </row>
    <row r="2" customFormat="false" ht="15" hidden="false" customHeight="false" outlineLevel="0" collapsed="false">
      <c r="A2" s="17" t="n">
        <v>0</v>
      </c>
      <c r="B2" s="18" t="n">
        <f aca="false">'My Inputs'!$B$6</f>
        <v>2000</v>
      </c>
      <c r="C2" s="18" t="n">
        <f aca="false">'My Inputs'!$B$6</f>
        <v>2000</v>
      </c>
      <c r="D2" s="18" t="n">
        <f aca="false">'My Inputs'!$B$6</f>
        <v>2000</v>
      </c>
      <c r="E2" s="18" t="n">
        <f aca="false">'My Inputs'!$B$6</f>
        <v>2000</v>
      </c>
      <c r="F2" s="18" t="n">
        <f aca="false">'My Inputs'!$B$6</f>
        <v>2000</v>
      </c>
      <c r="G2" s="18" t="n">
        <f aca="false">'My Inputs'!$B$6</f>
        <v>2000</v>
      </c>
      <c r="H2" s="18" t="n">
        <f aca="false">'My Inputs'!$B$6</f>
        <v>2000</v>
      </c>
      <c r="I2" s="18" t="n">
        <f aca="false">'My Inputs'!$B$6</f>
        <v>2000</v>
      </c>
      <c r="J2" s="18" t="n">
        <f aca="false">'My Inputs'!$B$6</f>
        <v>2000</v>
      </c>
      <c r="K2" s="18" t="n">
        <f aca="false">'My Inputs'!$B$6</f>
        <v>2000</v>
      </c>
      <c r="L2" s="18" t="n">
        <f aca="false">'My Inputs'!$B$6</f>
        <v>2000</v>
      </c>
      <c r="M2" s="18" t="n">
        <f aca="false">'My Inputs'!$B$6</f>
        <v>2000</v>
      </c>
      <c r="N2" s="18" t="n">
        <f aca="false">'My Inputs'!$B$6</f>
        <v>2000</v>
      </c>
      <c r="O2" s="18" t="n">
        <f aca="false">'My Inputs'!$B$6</f>
        <v>2000</v>
      </c>
      <c r="P2" s="18" t="n">
        <f aca="false">'My Inputs'!$B$6</f>
        <v>2000</v>
      </c>
    </row>
    <row r="3" customFormat="false" ht="15" hidden="false" customHeight="false" outlineLevel="0" collapsed="false">
      <c r="A3" s="17" t="n">
        <v>1</v>
      </c>
      <c r="B3" s="18" t="n">
        <f aca="false">MAX(0,('My Inputs'!$B$4*12+B2)*(1+'Bank Products'!$E$5)-'Bank Products'!$F$5)</f>
        <v>8168</v>
      </c>
      <c r="C3" s="18" t="n">
        <f aca="false">MAX(0,('My Inputs'!$B$4*12+C2)*(1+'Bank Products'!$E$6)-'Bank Products'!$F$6)</f>
        <v>8272</v>
      </c>
      <c r="D3" s="18" t="n">
        <f aca="false">MAX(0,('My Inputs'!$B$4*12+D2)*(1+'Bank Products'!$E$7)-'Bank Products'!$F$7)</f>
        <v>8460</v>
      </c>
      <c r="E3" s="18" t="n">
        <f aca="false">MAX(0,('My Inputs'!$B$4*12+E2)*(1+'Bank Products'!$E$8)-'Bank Products'!$F$8)</f>
        <v>8160</v>
      </c>
      <c r="F3" s="18" t="n">
        <f aca="false">MAX(0,('My Inputs'!$B$4*12+F2)*(1+'Bank Products'!$E$9)-'Bank Products'!$F$9)</f>
        <v>8280</v>
      </c>
      <c r="G3" s="18" t="n">
        <f aca="false">MAX(0,('My Inputs'!$B$4*12+G2)*(1+'Bank Products'!$E$10)-'Bank Products'!$F$10)</f>
        <v>8448</v>
      </c>
      <c r="H3" s="18" t="n">
        <f aca="false">MAX(0,('My Inputs'!$B$4*12+H2)*(1+'Bank Products'!$E$11)-'Bank Products'!$F$11)</f>
        <v>8164</v>
      </c>
      <c r="I3" s="18" t="n">
        <f aca="false">MAX(0,('My Inputs'!$B$4*12+I2)*(1+'Bank Products'!$E$12)-'Bank Products'!$F$12)</f>
        <v>8276</v>
      </c>
      <c r="J3" s="18" t="n">
        <f aca="false">MAX(0,('My Inputs'!$B$4*12+J2)*(1+'Bank Products'!$E$13)-'Bank Products'!$F$13)</f>
        <v>8472</v>
      </c>
      <c r="K3" s="18" t="n">
        <f aca="false">MAX(0,('My Inputs'!$B$4*12+K2)*(1+'Bank Products'!$E$14)-'Bank Products'!$F$14)</f>
        <v>8156</v>
      </c>
      <c r="L3" s="18" t="n">
        <f aca="false">MAX(0,('My Inputs'!$B$4*12+L2)*(1+'Bank Products'!$E$15)-'Bank Products'!$F$15)</f>
        <v>8288</v>
      </c>
      <c r="M3" s="18" t="n">
        <f aca="false">MAX(0,('My Inputs'!$B$4*12+M2)*(1+'Bank Products'!$E$16)-'Bank Products'!$F$16)</f>
        <v>8436</v>
      </c>
      <c r="N3" s="18" t="n">
        <f aca="false">MAX(0,('My Inputs'!$B$4*12+N2)*(1+'Bank Products'!$E$17)-'Bank Products'!$F$17)</f>
        <v>8172</v>
      </c>
      <c r="O3" s="18" t="n">
        <f aca="false">MAX(0,('My Inputs'!$B$4*12+O2)*(1+'Bank Products'!$E$18)-'Bank Products'!$F$18)</f>
        <v>8264</v>
      </c>
      <c r="P3" s="18" t="n">
        <f aca="false">MAX(0,('My Inputs'!$B$4*12+P2)*(1+'Bank Products'!$E$19)-'Bank Products'!$F$19)</f>
        <v>8478.4</v>
      </c>
    </row>
    <row r="4" customFormat="false" ht="15" hidden="false" customHeight="false" outlineLevel="0" collapsed="false">
      <c r="A4" s="17" t="n">
        <v>2</v>
      </c>
      <c r="B4" s="18" t="n">
        <f aca="false">MAX(0,('My Inputs'!$B$4*12+B3)*(1+'Bank Products'!$E$5)-'Bank Products'!$F$5)</f>
        <v>14465.528</v>
      </c>
      <c r="C4" s="18" t="n">
        <f aca="false">MAX(0,('My Inputs'!$B$4*12+C3)*(1+'Bank Products'!$E$6)-'Bank Products'!$F$6)</f>
        <v>14757.248</v>
      </c>
      <c r="D4" s="18" t="n">
        <f aca="false">MAX(0,('My Inputs'!$B$4*12+D3)*(1+'Bank Products'!$E$7)-'Bank Products'!$F$7)</f>
        <v>15291.45</v>
      </c>
      <c r="E4" s="18" t="n">
        <f aca="false">MAX(0,('My Inputs'!$B$4*12+E3)*(1+'Bank Products'!$E$8)-'Bank Products'!$F$8)</f>
        <v>14443.2</v>
      </c>
      <c r="F4" s="18" t="n">
        <f aca="false">MAX(0,('My Inputs'!$B$4*12+F3)*(1+'Bank Products'!$E$9)-'Bank Products'!$F$9)</f>
        <v>14779.8</v>
      </c>
      <c r="G4" s="18" t="n">
        <f aca="false">MAX(0,('My Inputs'!$B$4*12+G3)*(1+'Bank Products'!$E$10)-'Bank Products'!$F$10)</f>
        <v>15257.088</v>
      </c>
      <c r="H4" s="18" t="n">
        <f aca="false">MAX(0,('My Inputs'!$B$4*12+H3)*(1+'Bank Products'!$E$11)-'Bank Products'!$F$11)</f>
        <v>14454.362</v>
      </c>
      <c r="I4" s="18" t="n">
        <f aca="false">MAX(0,('My Inputs'!$B$4*12+I3)*(1+'Bank Products'!$E$12)-'Bank Products'!$F$12)</f>
        <v>14768.522</v>
      </c>
      <c r="J4" s="18" t="n">
        <f aca="false">MAX(0,('My Inputs'!$B$4*12+J3)*(1+'Bank Products'!$E$13)-'Bank Products'!$F$13)</f>
        <v>15325.848</v>
      </c>
      <c r="K4" s="18" t="n">
        <f aca="false">MAX(0,('My Inputs'!$B$4*12+K3)*(1+'Bank Products'!$E$14)-'Bank Products'!$F$14)</f>
        <v>14432.042</v>
      </c>
      <c r="L4" s="18" t="n">
        <f aca="false">MAX(0,('My Inputs'!$B$4*12+L3)*(1+'Bank Products'!$E$15)-'Bank Products'!$F$15)</f>
        <v>14802.368</v>
      </c>
      <c r="M4" s="18" t="n">
        <f aca="false">MAX(0,('My Inputs'!$B$4*12+M3)*(1+'Bank Products'!$E$16)-'Bank Products'!$F$16)</f>
        <v>15222.762</v>
      </c>
      <c r="N4" s="18" t="n">
        <f aca="false">MAX(0,('My Inputs'!$B$4*12+N3)*(1+'Bank Products'!$E$17)-'Bank Products'!$F$17)</f>
        <v>14476.698</v>
      </c>
      <c r="O4" s="18" t="n">
        <f aca="false">MAX(0,('My Inputs'!$B$4*12+O3)*(1+'Bank Products'!$E$18)-'Bank Products'!$F$18)</f>
        <v>14734.712</v>
      </c>
      <c r="P4" s="18" t="n">
        <f aca="false">MAX(0,('My Inputs'!$B$4*12+P3)*(1+'Bank Products'!$E$19)-'Bank Products'!$F$19)</f>
        <v>15344.20832</v>
      </c>
    </row>
    <row r="5" customFormat="false" ht="15" hidden="false" customHeight="false" outlineLevel="0" collapsed="false">
      <c r="A5" s="17" t="n">
        <v>3</v>
      </c>
      <c r="B5" s="18" t="n">
        <f aca="false">MAX(0,('My Inputs'!$B$4*12+B4)*(1+'Bank Products'!$E$5)-'Bank Products'!$F$5)</f>
        <v>20895.304088</v>
      </c>
      <c r="C5" s="18" t="n">
        <f aca="false">MAX(0,('My Inputs'!$B$4*12+C4)*(1+'Bank Products'!$E$6)-'Bank Products'!$F$6)</f>
        <v>21462.994432</v>
      </c>
      <c r="D5" s="18" t="n">
        <f aca="false">MAX(0,('My Inputs'!$B$4*12+D4)*(1+'Bank Products'!$E$7)-'Bank Products'!$F$7)</f>
        <v>22515.708375</v>
      </c>
      <c r="E5" s="18" t="n">
        <f aca="false">MAX(0,('My Inputs'!$B$4*12+E4)*(1+'Bank Products'!$E$8)-'Bank Products'!$F$8)</f>
        <v>20852.064</v>
      </c>
      <c r="F5" s="18" t="n">
        <f aca="false">MAX(0,('My Inputs'!$B$4*12+F4)*(1+'Bank Products'!$E$9)-'Bank Products'!$F$9)</f>
        <v>21507.093</v>
      </c>
      <c r="G5" s="18" t="n">
        <f aca="false">MAX(0,('My Inputs'!$B$4*12+G4)*(1+'Bank Products'!$E$10)-'Bank Products'!$F$10)</f>
        <v>22447.484928</v>
      </c>
      <c r="H5" s="18" t="n">
        <f aca="false">MAX(0,('My Inputs'!$B$4*12+H4)*(1+'Bank Products'!$E$11)-'Bank Products'!$F$11)</f>
        <v>20873.676421</v>
      </c>
      <c r="I5" s="18" t="n">
        <f aca="false">MAX(0,('My Inputs'!$B$4*12+I4)*(1+'Bank Products'!$E$12)-'Bank Products'!$F$12)</f>
        <v>21485.036009</v>
      </c>
      <c r="J5" s="18" t="n">
        <f aca="false">MAX(0,('My Inputs'!$B$4*12+J4)*(1+'Bank Products'!$E$13)-'Bank Products'!$F$13)</f>
        <v>22584.073032</v>
      </c>
      <c r="K5" s="18" t="n">
        <f aca="false">MAX(0,('My Inputs'!$B$4*12+K4)*(1+'Bank Products'!$E$14)-'Bank Products'!$F$14)</f>
        <v>20830.466819</v>
      </c>
      <c r="L5" s="18" t="n">
        <f aca="false">MAX(0,('My Inputs'!$B$4*12+L4)*(1+'Bank Products'!$E$15)-'Bank Products'!$F$15)</f>
        <v>21551.253248</v>
      </c>
      <c r="M5" s="18" t="n">
        <f aca="false">MAX(0,('My Inputs'!$B$4*12+M4)*(1+'Bank Products'!$E$16)-'Bank Products'!$F$16)</f>
        <v>22379.402529</v>
      </c>
      <c r="N5" s="18" t="n">
        <f aca="false">MAX(0,('My Inputs'!$B$4*12+N4)*(1+'Bank Products'!$E$17)-'Bank Products'!$F$17)</f>
        <v>20916.947007</v>
      </c>
      <c r="O5" s="18" t="n">
        <f aca="false">MAX(0,('My Inputs'!$B$4*12+O4)*(1+'Bank Products'!$E$18)-'Bank Products'!$F$18)</f>
        <v>21418.957496</v>
      </c>
      <c r="P5" s="18" t="n">
        <f aca="false">MAX(0,('My Inputs'!$B$4*12+P4)*(1+'Bank Products'!$E$19)-'Bank Products'!$F$19)</f>
        <v>22620.591977536</v>
      </c>
    </row>
    <row r="6" customFormat="false" ht="15" hidden="false" customHeight="false" outlineLevel="0" collapsed="false">
      <c r="A6" s="17" t="n">
        <v>4</v>
      </c>
      <c r="B6" s="18" t="n">
        <f aca="false">MAX(0,('My Inputs'!$B$4*12+B5)*(1+'Bank Products'!$E$5)-'Bank Products'!$F$5)</f>
        <v>27460.105473848</v>
      </c>
      <c r="C6" s="18" t="n">
        <f aca="false">MAX(0,('My Inputs'!$B$4*12+C5)*(1+'Bank Products'!$E$6)-'Bank Products'!$F$6)</f>
        <v>28396.736242688</v>
      </c>
      <c r="D6" s="18" t="n">
        <f aca="false">MAX(0,('My Inputs'!$B$4*12+D5)*(1+'Bank Products'!$E$7)-'Bank Products'!$F$7)</f>
        <v>30155.3616065625</v>
      </c>
      <c r="E6" s="18" t="n">
        <f aca="false">MAX(0,('My Inputs'!$B$4*12+E5)*(1+'Bank Products'!$E$8)-'Bank Products'!$F$8)</f>
        <v>27389.10528</v>
      </c>
      <c r="F6" s="18" t="n">
        <f aca="false">MAX(0,('My Inputs'!$B$4*12+F5)*(1+'Bank Products'!$E$9)-'Bank Products'!$F$9)</f>
        <v>28469.841255</v>
      </c>
      <c r="G6" s="18" t="n">
        <f aca="false">MAX(0,('My Inputs'!$B$4*12+G5)*(1+'Bank Products'!$E$10)-'Bank Products'!$F$10)</f>
        <v>30040.544083968</v>
      </c>
      <c r="H6" s="18" t="n">
        <f aca="false">MAX(0,('My Inputs'!$B$4*12+H5)*(1+'Bank Products'!$E$11)-'Bank Products'!$F$11)</f>
        <v>27424.5867876305</v>
      </c>
      <c r="I6" s="18" t="n">
        <f aca="false">MAX(0,('My Inputs'!$B$4*12+I5)*(1+'Bank Products'!$E$12)-'Bank Products'!$F$12)</f>
        <v>28433.2697513105</v>
      </c>
      <c r="J6" s="18" t="n">
        <f aca="false">MAX(0,('My Inputs'!$B$4*12+J5)*(1+'Bank Products'!$E$13)-'Bank Products'!$F$13)</f>
        <v>30270.533340888</v>
      </c>
      <c r="K6" s="18" t="n">
        <f aca="false">MAX(0,('My Inputs'!$B$4*12+K5)*(1+'Bank Products'!$E$14)-'Bank Products'!$F$14)</f>
        <v>27353.6609219705</v>
      </c>
      <c r="L6" s="18" t="n">
        <f aca="false">MAX(0,('My Inputs'!$B$4*12+L5)*(1+'Bank Products'!$E$15)-'Bank Products'!$F$15)</f>
        <v>28543.098364928</v>
      </c>
      <c r="M6" s="18" t="n">
        <f aca="false">MAX(0,('My Inputs'!$B$4*12+M5)*(1+'Bank Products'!$E$16)-'Bank Products'!$F$16)</f>
        <v>29926.0799668305</v>
      </c>
      <c r="N6" s="18" t="n">
        <f aca="false">MAX(0,('My Inputs'!$B$4*12+N5)*(1+'Bank Products'!$E$17)-'Bank Products'!$F$17)</f>
        <v>27495.6613676505</v>
      </c>
      <c r="O6" s="18" t="n">
        <f aca="false">MAX(0,('My Inputs'!$B$4*12+O5)*(1+'Bank Products'!$E$18)-'Bank Products'!$F$18)</f>
        <v>28323.783093368</v>
      </c>
      <c r="P6" s="18" t="n">
        <f aca="false">MAX(0,('My Inputs'!$B$4*12+P5)*(1+'Bank Products'!$E$19)-'Bank Products'!$F$19)</f>
        <v>30332.1033777927</v>
      </c>
    </row>
    <row r="7" customFormat="false" ht="15" hidden="false" customHeight="false" outlineLevel="0" collapsed="false">
      <c r="A7" s="17" t="n">
        <v>5</v>
      </c>
      <c r="B7" s="18" t="n">
        <f aca="false">MAX(0,('My Inputs'!$B$4*12+B6)*(1+'Bank Products'!$E$5)-'Bank Products'!$F$5)</f>
        <v>34162.7676887988</v>
      </c>
      <c r="C7" s="18" t="n">
        <f aca="false">MAX(0,('My Inputs'!$B$4*12+C6)*(1+'Bank Products'!$E$6)-'Bank Products'!$F$6)</f>
        <v>35566.2252749394</v>
      </c>
      <c r="D7" s="18" t="n">
        <f aca="false">MAX(0,('My Inputs'!$B$4*12+D6)*(1+'Bank Products'!$E$7)-'Bank Products'!$F$7)</f>
        <v>38234.2948989399</v>
      </c>
      <c r="E7" s="18" t="n">
        <f aca="false">MAX(0,('My Inputs'!$B$4*12+E6)*(1+'Bank Products'!$E$8)-'Bank Products'!$F$8)</f>
        <v>34056.8873856</v>
      </c>
      <c r="F7" s="18" t="n">
        <f aca="false">MAX(0,('My Inputs'!$B$4*12+F6)*(1+'Bank Products'!$E$9)-'Bank Products'!$F$9)</f>
        <v>35676.285698925</v>
      </c>
      <c r="G7" s="18" t="n">
        <f aca="false">MAX(0,('My Inputs'!$B$4*12+G6)*(1+'Bank Products'!$E$10)-'Bank Products'!$F$10)</f>
        <v>38058.8145526702</v>
      </c>
      <c r="H7" s="18" t="n">
        <f aca="false">MAX(0,('My Inputs'!$B$4*12+H6)*(1+'Bank Products'!$E$11)-'Bank Products'!$F$11)</f>
        <v>34109.7908167769</v>
      </c>
      <c r="I7" s="18" t="n">
        <f aca="false">MAX(0,('My Inputs'!$B$4*12+I6)*(1+'Bank Products'!$E$12)-'Bank Products'!$F$12)</f>
        <v>35621.2175577307</v>
      </c>
      <c r="J7" s="18" t="n">
        <f aca="false">MAX(0,('My Inputs'!$B$4*12+J6)*(1+'Bank Products'!$E$13)-'Bank Products'!$F$13)</f>
        <v>38410.4948080004</v>
      </c>
      <c r="K7" s="18" t="n">
        <f aca="false">MAX(0,('My Inputs'!$B$4*12+K6)*(1+'Bank Products'!$E$14)-'Bank Products'!$F$14)</f>
        <v>34004.0573099489</v>
      </c>
      <c r="L7" s="18" t="n">
        <f aca="false">MAX(0,('My Inputs'!$B$4*12+L6)*(1+'Bank Products'!$E$15)-'Bank Products'!$F$15)</f>
        <v>35786.6499060654</v>
      </c>
      <c r="M7" s="18" t="n">
        <f aca="false">MAX(0,('My Inputs'!$B$4*12+M6)*(1+'Bank Products'!$E$16)-'Bank Products'!$F$16)</f>
        <v>37884.0513250228</v>
      </c>
      <c r="N7" s="18" t="n">
        <f aca="false">MAX(0,('My Inputs'!$B$4*12+N6)*(1+'Bank Products'!$E$17)-'Bank Products'!$F$17)</f>
        <v>34215.818087055</v>
      </c>
      <c r="O7" s="18" t="n">
        <f aca="false">MAX(0,('My Inputs'!$B$4*12+O6)*(1+'Bank Products'!$E$18)-'Bank Products'!$F$18)</f>
        <v>35456.4679354491</v>
      </c>
      <c r="P7" s="18" t="n">
        <f aca="false">MAX(0,('My Inputs'!$B$4*12+P6)*(1+'Bank Products'!$E$19)-'Bank Products'!$F$19)</f>
        <v>38504.7631597847</v>
      </c>
    </row>
    <row r="8" customFormat="false" ht="15" hidden="false" customHeight="false" outlineLevel="0" collapsed="false">
      <c r="A8" s="17" t="n">
        <v>6</v>
      </c>
      <c r="B8" s="18" t="n">
        <f aca="false">MAX(0,('My Inputs'!$B$4*12+B7)*(1+'Bank Products'!$E$5)-'Bank Products'!$F$5)</f>
        <v>41006.1858102636</v>
      </c>
      <c r="C8" s="18" t="n">
        <f aca="false">MAX(0,('My Inputs'!$B$4*12+C7)*(1+'Bank Products'!$E$6)-'Bank Products'!$F$6)</f>
        <v>42979.4769342873</v>
      </c>
      <c r="D8" s="18" t="n">
        <f aca="false">MAX(0,('My Inputs'!$B$4*12+D7)*(1+'Bank Products'!$E$7)-'Bank Products'!$F$7)</f>
        <v>46777.7668556289</v>
      </c>
      <c r="E8" s="18" t="n">
        <f aca="false">MAX(0,('My Inputs'!$B$4*12+E7)*(1+'Bank Products'!$E$8)-'Bank Products'!$F$8)</f>
        <v>40858.025133312</v>
      </c>
      <c r="F8" s="18" t="n">
        <f aca="false">MAX(0,('My Inputs'!$B$4*12+F7)*(1+'Bank Products'!$E$9)-'Bank Products'!$F$9)</f>
        <v>43134.9556983874</v>
      </c>
      <c r="G8" s="18" t="n">
        <f aca="false">MAX(0,('My Inputs'!$B$4*12+G7)*(1+'Bank Products'!$E$10)-'Bank Products'!$F$10)</f>
        <v>46526.1081676198</v>
      </c>
      <c r="H8" s="18" t="n">
        <f aca="false">MAX(0,('My Inputs'!$B$4*12+H7)*(1+'Bank Products'!$E$11)-'Bank Products'!$F$11)</f>
        <v>40932.0415285208</v>
      </c>
      <c r="I8" s="18" t="n">
        <f aca="false">MAX(0,('My Inputs'!$B$4*12+I7)*(1+'Bank Products'!$E$12)-'Bank Products'!$F$12)</f>
        <v>43057.1495634724</v>
      </c>
      <c r="J8" s="18" t="n">
        <f aca="false">MAX(0,('My Inputs'!$B$4*12+J7)*(1+'Bank Products'!$E$13)-'Bank Products'!$F$13)</f>
        <v>47030.7140016724</v>
      </c>
      <c r="K8" s="18" t="n">
        <f aca="false">MAX(0,('My Inputs'!$B$4*12+K7)*(1+'Bank Products'!$E$14)-'Bank Products'!$F$14)</f>
        <v>40784.1364274929</v>
      </c>
      <c r="L8" s="18" t="n">
        <f aca="false">MAX(0,('My Inputs'!$B$4*12+L7)*(1+'Bank Products'!$E$15)-'Bank Products'!$F$15)</f>
        <v>43290.9693026838</v>
      </c>
      <c r="M8" s="18" t="n">
        <f aca="false">MAX(0,('My Inputs'!$B$4*12+M7)*(1+'Bank Products'!$E$16)-'Bank Products'!$F$16)</f>
        <v>46275.7321222365</v>
      </c>
      <c r="N8" s="18" t="n">
        <f aca="false">MAX(0,('My Inputs'!$B$4*12+N7)*(1+'Bank Products'!$E$17)-'Bank Products'!$F$17)</f>
        <v>41080.4581759267</v>
      </c>
      <c r="O8" s="18" t="n">
        <f aca="false">MAX(0,('My Inputs'!$B$4*12+O7)*(1+'Bank Products'!$E$18)-'Bank Products'!$F$18)</f>
        <v>42824.531377319</v>
      </c>
      <c r="P8" s="18" t="n">
        <f aca="false">MAX(0,('My Inputs'!$B$4*12+P7)*(1+'Bank Products'!$E$19)-'Bank Products'!$F$19)</f>
        <v>47166.1479967398</v>
      </c>
    </row>
    <row r="9" customFormat="false" ht="15" hidden="false" customHeight="false" outlineLevel="0" collapsed="false">
      <c r="A9" s="17" t="n">
        <v>7</v>
      </c>
      <c r="B9" s="18" t="n">
        <f aca="false">MAX(0,('My Inputs'!$B$4*12+B8)*(1+'Bank Products'!$E$5)-'Bank Products'!$F$5)</f>
        <v>47993.3157122791</v>
      </c>
      <c r="C9" s="18" t="n">
        <f aca="false">MAX(0,('My Inputs'!$B$4*12+C8)*(1+'Bank Products'!$E$6)-'Bank Products'!$F$6)</f>
        <v>50644.7791500531</v>
      </c>
      <c r="D9" s="18" t="n">
        <f aca="false">MAX(0,('My Inputs'!$B$4*12+D8)*(1+'Bank Products'!$E$7)-'Bank Products'!$F$7)</f>
        <v>55812.4884498276</v>
      </c>
      <c r="E9" s="18" t="n">
        <f aca="false">MAX(0,('My Inputs'!$B$4*12+E8)*(1+'Bank Products'!$E$8)-'Bank Products'!$F$8)</f>
        <v>47795.1856359783</v>
      </c>
      <c r="F9" s="18" t="n">
        <f aca="false">MAX(0,('My Inputs'!$B$4*12+F8)*(1+'Bank Products'!$E$9)-'Bank Products'!$F$9)</f>
        <v>50854.6791478309</v>
      </c>
      <c r="G9" s="18" t="n">
        <f aca="false">MAX(0,('My Inputs'!$B$4*12+G8)*(1+'Bank Products'!$E$10)-'Bank Products'!$F$10)</f>
        <v>55467.5702250065</v>
      </c>
      <c r="H9" s="18" t="n">
        <f aca="false">MAX(0,('My Inputs'!$B$4*12+H8)*(1+'Bank Products'!$E$11)-'Bank Products'!$F$11)</f>
        <v>47894.1483798555</v>
      </c>
      <c r="I9" s="18" t="n">
        <f aca="false">MAX(0,('My Inputs'!$B$4*12+I8)*(1+'Bank Products'!$E$12)-'Bank Products'!$F$12)</f>
        <v>50749.6212234122</v>
      </c>
      <c r="J9" s="18" t="n">
        <f aca="false">MAX(0,('My Inputs'!$B$4*12+J8)*(1+'Bank Products'!$E$13)-'Bank Products'!$F$13)</f>
        <v>56159.5261277711</v>
      </c>
      <c r="K9" s="18" t="n">
        <f aca="false">MAX(0,('My Inputs'!$B$4*12+K8)*(1+'Bank Products'!$E$14)-'Bank Products'!$F$14)</f>
        <v>47696.4270878291</v>
      </c>
      <c r="L9" s="18" t="n">
        <f aca="false">MAX(0,('My Inputs'!$B$4*12+L8)*(1+'Bank Products'!$E$15)-'Bank Products'!$F$15)</f>
        <v>51065.4441975804</v>
      </c>
      <c r="M9" s="18" t="n">
        <f aca="false">MAX(0,('My Inputs'!$B$4*12+M8)*(1+'Bank Products'!$E$16)-'Bank Products'!$F$16)</f>
        <v>55124.7595228984</v>
      </c>
      <c r="N9" s="18" t="n">
        <f aca="false">MAX(0,('My Inputs'!$B$4*12+N8)*(1+'Bank Products'!$E$17)-'Bank Products'!$F$17)</f>
        <v>48092.6880267091</v>
      </c>
      <c r="O9" s="18" t="n">
        <f aca="false">MAX(0,('My Inputs'!$B$4*12+O8)*(1+'Bank Products'!$E$18)-'Bank Products'!$F$18)</f>
        <v>50435.7409127705</v>
      </c>
      <c r="P9" s="18" t="n">
        <f aca="false">MAX(0,('My Inputs'!$B$4*12+P8)*(1+'Bank Products'!$E$19)-'Bank Products'!$F$19)</f>
        <v>56345.4836469448</v>
      </c>
    </row>
    <row r="10" customFormat="false" ht="15" hidden="false" customHeight="false" outlineLevel="0" collapsed="false">
      <c r="A10" s="17" t="n">
        <v>8</v>
      </c>
      <c r="B10" s="18" t="n">
        <f aca="false">MAX(0,('My Inputs'!$B$4*12+B9)*(1+'Bank Products'!$E$5)-'Bank Products'!$F$5)</f>
        <v>55127.175342237</v>
      </c>
      <c r="C10" s="18" t="n">
        <f aca="false">MAX(0,('My Inputs'!$B$4*12+C9)*(1+'Bank Products'!$E$6)-'Bank Products'!$F$6)</f>
        <v>58570.7016411549</v>
      </c>
      <c r="D10" s="18" t="n">
        <f aca="false">MAX(0,('My Inputs'!$B$4*12+D9)*(1+'Bank Products'!$E$7)-'Bank Products'!$F$7)</f>
        <v>65366.7065356927</v>
      </c>
      <c r="E10" s="18" t="n">
        <f aca="false">MAX(0,('My Inputs'!$B$4*12+E9)*(1+'Bank Products'!$E$8)-'Bank Products'!$F$8)</f>
        <v>54871.0893486978</v>
      </c>
      <c r="F10" s="18" t="n">
        <f aca="false">MAX(0,('My Inputs'!$B$4*12+F9)*(1+'Bank Products'!$E$9)-'Bank Products'!$F$9)</f>
        <v>58844.592918005</v>
      </c>
      <c r="G10" s="18" t="n">
        <f aca="false">MAX(0,('My Inputs'!$B$4*12+G9)*(1+'Bank Products'!$E$10)-'Bank Products'!$F$10)</f>
        <v>64909.7541576068</v>
      </c>
      <c r="H10" s="18" t="n">
        <f aca="false">MAX(0,('My Inputs'!$B$4*12+H9)*(1+'Bank Products'!$E$11)-'Bank Products'!$F$11)</f>
        <v>54998.9784216426</v>
      </c>
      <c r="I10" s="18" t="n">
        <f aca="false">MAX(0,('My Inputs'!$B$4*12+I9)*(1+'Bank Products'!$E$12)-'Bank Products'!$F$12)</f>
        <v>58707.4831556199</v>
      </c>
      <c r="J10" s="18" t="n">
        <f aca="false">MAX(0,('My Inputs'!$B$4*12+J9)*(1+'Bank Products'!$E$13)-'Bank Products'!$F$13)</f>
        <v>65826.9381693096</v>
      </c>
      <c r="K10" s="18" t="n">
        <f aca="false">MAX(0,('My Inputs'!$B$4*12+K9)*(1+'Bank Products'!$E$14)-'Bank Products'!$F$14)</f>
        <v>54743.5074160417</v>
      </c>
      <c r="L10" s="18" t="n">
        <f aca="false">MAX(0,('My Inputs'!$B$4*12+L9)*(1+'Bank Products'!$E$15)-'Bank Products'!$F$15)</f>
        <v>59119.8001886933</v>
      </c>
      <c r="M10" s="18" t="n">
        <f aca="false">MAX(0,('My Inputs'!$B$4*12+M9)*(1+'Bank Products'!$E$16)-'Bank Products'!$F$16)</f>
        <v>64456.0589168964</v>
      </c>
      <c r="N10" s="18" t="n">
        <f aca="false">MAX(0,('My Inputs'!$B$4*12+N9)*(1+'Bank Products'!$E$17)-'Bank Products'!$F$17)</f>
        <v>55255.6808192834</v>
      </c>
      <c r="O10" s="18" t="n">
        <f aca="false">MAX(0,('My Inputs'!$B$4*12+O9)*(1+'Bank Products'!$E$18)-'Bank Products'!$F$18)</f>
        <v>58298.1203628919</v>
      </c>
      <c r="P10" s="18" t="n">
        <f aca="false">MAX(0,('My Inputs'!$B$4*12+P9)*(1+'Bank Products'!$E$19)-'Bank Products'!$F$19)</f>
        <v>66073.7435690321</v>
      </c>
    </row>
    <row r="11" customFormat="false" ht="15" hidden="false" customHeight="false" outlineLevel="0" collapsed="false">
      <c r="A11" s="17" t="n">
        <v>9</v>
      </c>
      <c r="B11" s="18" t="n">
        <f aca="false">MAX(0,('My Inputs'!$B$4*12+B10)*(1+'Bank Products'!$E$5)-'Bank Products'!$F$5)</f>
        <v>62410.8460244239</v>
      </c>
      <c r="C11" s="18" t="n">
        <f aca="false">MAX(0,('My Inputs'!$B$4*12+C10)*(1+'Bank Products'!$E$6)-'Bank Products'!$F$6)</f>
        <v>66766.1054969542</v>
      </c>
      <c r="D11" s="18" t="n">
        <f aca="false">MAX(0,('My Inputs'!$B$4*12+D10)*(1+'Bank Products'!$E$7)-'Bank Products'!$F$7)</f>
        <v>75470.292161495</v>
      </c>
      <c r="E11" s="18" t="n">
        <f aca="false">MAX(0,('My Inputs'!$B$4*12+E10)*(1+'Bank Products'!$E$8)-'Bank Products'!$F$8)</f>
        <v>62088.5111356718</v>
      </c>
      <c r="F11" s="18" t="n">
        <f aca="false">MAX(0,('My Inputs'!$B$4*12+F10)*(1+'Bank Products'!$E$9)-'Bank Products'!$F$9)</f>
        <v>67114.1536701352</v>
      </c>
      <c r="G11" s="18" t="n">
        <f aca="false">MAX(0,('My Inputs'!$B$4*12+G10)*(1+'Bank Products'!$E$10)-'Bank Products'!$F$10)</f>
        <v>74880.7003904328</v>
      </c>
      <c r="H11" s="18" t="n">
        <f aca="false">MAX(0,('My Inputs'!$B$4*12+H10)*(1+'Bank Products'!$E$11)-'Bank Products'!$F$11)</f>
        <v>62249.4574792862</v>
      </c>
      <c r="I11" s="18" t="n">
        <f aca="false">MAX(0,('My Inputs'!$B$4*12+I10)*(1+'Bank Products'!$E$12)-'Bank Products'!$F$12)</f>
        <v>66939.8913244888</v>
      </c>
      <c r="J11" s="18" t="n">
        <f aca="false">MAX(0,('My Inputs'!$B$4*12+J10)*(1+'Bank Products'!$E$13)-'Bank Products'!$F$13)</f>
        <v>76064.7275212988</v>
      </c>
      <c r="K11" s="18" t="n">
        <f aca="false">MAX(0,('My Inputs'!$B$4*12+K10)*(1+'Bank Products'!$E$14)-'Bank Products'!$F$14)</f>
        <v>61928.0058106546</v>
      </c>
      <c r="L11" s="18" t="n">
        <f aca="false">MAX(0,('My Inputs'!$B$4*12+L10)*(1+'Bank Products'!$E$15)-'Bank Products'!$F$15)</f>
        <v>67464.1129954862</v>
      </c>
      <c r="M11" s="18" t="n">
        <f aca="false">MAX(0,('My Inputs'!$B$4*12+M10)*(1+'Bank Products'!$E$16)-'Bank Products'!$F$16)</f>
        <v>74295.9141278672</v>
      </c>
      <c r="N11" s="18" t="n">
        <f aca="false">MAX(0,('My Inputs'!$B$4*12+N10)*(1+'Bank Products'!$E$17)-'Bank Products'!$F$17)</f>
        <v>62572.677956898</v>
      </c>
      <c r="O11" s="18" t="n">
        <f aca="false">MAX(0,('My Inputs'!$B$4*12+O10)*(1+'Bank Products'!$E$18)-'Bank Products'!$F$18)</f>
        <v>66419.9583348673</v>
      </c>
      <c r="P11" s="18" t="n">
        <f aca="false">MAX(0,('My Inputs'!$B$4*12+P10)*(1+'Bank Products'!$E$19)-'Bank Products'!$F$19)</f>
        <v>76383.7534344603</v>
      </c>
    </row>
    <row r="12" customFormat="false" ht="15" hidden="false" customHeight="false" outlineLevel="0" collapsed="false">
      <c r="A12" s="17" t="n">
        <v>10</v>
      </c>
      <c r="B12" s="18" t="n">
        <f aca="false">MAX(0,('My Inputs'!$B$4*12+B11)*(1+'Bank Products'!$E$5)-'Bank Products'!$F$5)</f>
        <v>69847.4737909368</v>
      </c>
      <c r="C12" s="18" t="n">
        <f aca="false">MAX(0,('My Inputs'!$B$4*12+C11)*(1+'Bank Products'!$E$6)-'Bank Products'!$F$6)</f>
        <v>75240.1530838506</v>
      </c>
      <c r="D12" s="18" t="n">
        <f aca="false">MAX(0,('My Inputs'!$B$4*12+D11)*(1+'Bank Products'!$E$7)-'Bank Products'!$F$7)</f>
        <v>86154.833960781</v>
      </c>
      <c r="E12" s="18" t="n">
        <f aca="false">MAX(0,('My Inputs'!$B$4*12+E11)*(1+'Bank Products'!$E$8)-'Bank Products'!$F$8)</f>
        <v>69450.2813583852</v>
      </c>
      <c r="F12" s="18" t="n">
        <f aca="false">MAX(0,('My Inputs'!$B$4*12+F11)*(1+'Bank Products'!$E$9)-'Bank Products'!$F$9)</f>
        <v>75673.1490485899</v>
      </c>
      <c r="G12" s="18" t="n">
        <f aca="false">MAX(0,('My Inputs'!$B$4*12+G11)*(1+'Bank Products'!$E$10)-'Bank Products'!$F$10)</f>
        <v>85410.0196122971</v>
      </c>
      <c r="H12" s="18" t="n">
        <f aca="false">MAX(0,('My Inputs'!$B$4*12+H11)*(1+'Bank Products'!$E$11)-'Bank Products'!$F$11)</f>
        <v>69648.5713576116</v>
      </c>
      <c r="I12" s="18" t="n">
        <f aca="false">MAX(0,('My Inputs'!$B$4*12+I11)*(1+'Bank Products'!$E$12)-'Bank Products'!$F$12)</f>
        <v>75456.3175751837</v>
      </c>
      <c r="J12" s="18" t="n">
        <f aca="false">MAX(0,('My Inputs'!$B$4*12+J11)*(1+'Bank Products'!$E$13)-'Bank Products'!$F$13)</f>
        <v>86906.5464450554</v>
      </c>
      <c r="K12" s="18" t="n">
        <f aca="false">MAX(0,('My Inputs'!$B$4*12+K11)*(1+'Bank Products'!$E$14)-'Bank Products'!$F$14)</f>
        <v>69252.6019239623</v>
      </c>
      <c r="L12" s="18" t="n">
        <f aca="false">MAX(0,('My Inputs'!$B$4*12+L11)*(1+'Bank Products'!$E$15)-'Bank Products'!$F$15)</f>
        <v>76108.8210633238</v>
      </c>
      <c r="M12" s="18" t="n">
        <f aca="false">MAX(0,('My Inputs'!$B$4*12+M11)*(1+'Bank Products'!$E$16)-'Bank Products'!$F$16)</f>
        <v>84672.041447836</v>
      </c>
      <c r="N12" s="18" t="n">
        <f aca="false">MAX(0,('My Inputs'!$B$4*12+N11)*(1+'Bank Products'!$E$17)-'Bank Products'!$F$17)</f>
        <v>70046.9905329713</v>
      </c>
      <c r="O12" s="18" t="n">
        <f aca="false">MAX(0,('My Inputs'!$B$4*12+O11)*(1+'Bank Products'!$E$18)-'Bank Products'!$F$18)</f>
        <v>74809.8169599179</v>
      </c>
      <c r="P12" s="18" t="n">
        <f aca="false">MAX(0,('My Inputs'!$B$4*12+P11)*(1+'Bank Products'!$E$19)-'Bank Products'!$F$19)</f>
        <v>87310.301889841</v>
      </c>
    </row>
    <row r="13" customFormat="false" ht="15" hidden="false" customHeight="false" outlineLevel="0" collapsed="false">
      <c r="A13" s="17" t="n">
        <v>11</v>
      </c>
      <c r="B13" s="18" t="n">
        <f aca="false">MAX(0,('My Inputs'!$B$4*12+B12)*(1+'Bank Products'!$E$5)-'Bank Products'!$F$5)</f>
        <v>77440.2707405465</v>
      </c>
      <c r="C13" s="18" t="n">
        <f aca="false">MAX(0,('My Inputs'!$B$4*12+C12)*(1+'Bank Products'!$E$6)-'Bank Products'!$F$6)</f>
        <v>84002.3182887016</v>
      </c>
      <c r="D13" s="18" t="n">
        <f aca="false">MAX(0,('My Inputs'!$B$4*12+D12)*(1+'Bank Products'!$E$7)-'Bank Products'!$F$7)</f>
        <v>97453.7369135259</v>
      </c>
      <c r="E13" s="18" t="n">
        <f aca="false">MAX(0,('My Inputs'!$B$4*12+E12)*(1+'Bank Products'!$E$8)-'Bank Products'!$F$8)</f>
        <v>76959.2869855529</v>
      </c>
      <c r="F13" s="18" t="n">
        <f aca="false">MAX(0,('My Inputs'!$B$4*12+F12)*(1+'Bank Products'!$E$9)-'Bank Products'!$F$9)</f>
        <v>84531.7092652905</v>
      </c>
      <c r="G13" s="18" t="n">
        <f aca="false">MAX(0,('My Inputs'!$B$4*12+G12)*(1+'Bank Products'!$E$10)-'Bank Products'!$F$10)</f>
        <v>96528.9807105857</v>
      </c>
      <c r="H13" s="18" t="n">
        <f aca="false">MAX(0,('My Inputs'!$B$4*12+H12)*(1+'Bank Products'!$E$11)-'Bank Products'!$F$11)</f>
        <v>77199.3670704426</v>
      </c>
      <c r="I13" s="18" t="n">
        <f aca="false">MAX(0,('My Inputs'!$B$4*12+I12)*(1+'Bank Products'!$E$12)-'Bank Products'!$F$12)</f>
        <v>84266.5605315275</v>
      </c>
      <c r="J13" s="18" t="n">
        <f aca="false">MAX(0,('My Inputs'!$B$4*12+J12)*(1+'Bank Products'!$E$13)-'Bank Products'!$F$13)</f>
        <v>98388.0326853137</v>
      </c>
      <c r="K13" s="18" t="n">
        <f aca="false">MAX(0,('My Inputs'!$B$4*12+K12)*(1+'Bank Products'!$E$14)-'Bank Products'!$F$14)</f>
        <v>76720.0276614796</v>
      </c>
      <c r="L13" s="18" t="n">
        <f aca="false">MAX(0,('My Inputs'!$B$4*12+L12)*(1+'Bank Products'!$E$15)-'Bank Products'!$F$15)</f>
        <v>85064.7386216034</v>
      </c>
      <c r="M13" s="18" t="n">
        <f aca="false">MAX(0,('My Inputs'!$B$4*12+M12)*(1+'Bank Products'!$E$16)-'Bank Products'!$F$16)</f>
        <v>95613.667706743</v>
      </c>
      <c r="N13" s="18" t="n">
        <f aca="false">MAX(0,('My Inputs'!$B$4*12+N12)*(1+'Bank Products'!$E$17)-'Bank Products'!$F$17)</f>
        <v>77682.0008294302</v>
      </c>
      <c r="O13" s="18" t="n">
        <f aca="false">MAX(0,('My Inputs'!$B$4*12+O12)*(1+'Bank Products'!$E$18)-'Bank Products'!$F$18)</f>
        <v>83476.5409195952</v>
      </c>
      <c r="P13" s="18" t="n">
        <f aca="false">MAX(0,('My Inputs'!$B$4*12+P12)*(1+'Bank Products'!$E$19)-'Bank Products'!$F$19)</f>
        <v>98890.2579428535</v>
      </c>
    </row>
    <row r="14" customFormat="false" ht="15" hidden="false" customHeight="false" outlineLevel="0" collapsed="false">
      <c r="A14" s="17" t="n">
        <v>12</v>
      </c>
      <c r="B14" s="18" t="n">
        <f aca="false">MAX(0,('My Inputs'!$B$4*12+B13)*(1+'Bank Products'!$E$5)-'Bank Products'!$F$5)</f>
        <v>85192.516426098</v>
      </c>
      <c r="C14" s="18" t="n">
        <f aca="false">MAX(0,('My Inputs'!$B$4*12+C13)*(1+'Bank Products'!$E$6)-'Bank Products'!$F$6)</f>
        <v>93062.3971105174</v>
      </c>
      <c r="D14" s="18" t="n">
        <f aca="false">MAX(0,('My Inputs'!$B$4*12+D13)*(1+'Bank Products'!$E$7)-'Bank Products'!$F$7)</f>
        <v>109402.326786054</v>
      </c>
      <c r="E14" s="18" t="n">
        <f aca="false">MAX(0,('My Inputs'!$B$4*12+E13)*(1+'Bank Products'!$E$8)-'Bank Products'!$F$8)</f>
        <v>84618.472725264</v>
      </c>
      <c r="F14" s="18" t="n">
        <f aca="false">MAX(0,('My Inputs'!$B$4*12+F13)*(1+'Bank Products'!$E$9)-'Bank Products'!$F$9)</f>
        <v>93700.3190895757</v>
      </c>
      <c r="G14" s="18" t="n">
        <f aca="false">MAX(0,('My Inputs'!$B$4*12+G13)*(1+'Bank Products'!$E$10)-'Bank Products'!$F$10)</f>
        <v>108270.603630379</v>
      </c>
      <c r="H14" s="18" t="n">
        <f aca="false">MAX(0,('My Inputs'!$B$4*12+H13)*(1+'Bank Products'!$E$11)-'Bank Products'!$F$11)</f>
        <v>84904.9540953867</v>
      </c>
      <c r="I14" s="18" t="n">
        <f aca="false">MAX(0,('My Inputs'!$B$4*12+I13)*(1+'Bank Products'!$E$12)-'Bank Products'!$F$12)</f>
        <v>93380.7568698652</v>
      </c>
      <c r="J14" s="18" t="n">
        <f aca="false">MAX(0,('My Inputs'!$B$4*12+J13)*(1+'Bank Products'!$E$13)-'Bank Products'!$F$13)</f>
        <v>110546.926613747</v>
      </c>
      <c r="K14" s="18" t="n">
        <f aca="false">MAX(0,('My Inputs'!$B$4*12+K13)*(1+'Bank Products'!$E$14)-'Bank Products'!$F$14)</f>
        <v>84333.0682008785</v>
      </c>
      <c r="L14" s="18" t="n">
        <f aca="false">MAX(0,('My Inputs'!$B$4*12+L13)*(1+'Bank Products'!$E$15)-'Bank Products'!$F$15)</f>
        <v>94343.0692119811</v>
      </c>
      <c r="M14" s="18" t="n">
        <f aca="false">MAX(0,('My Inputs'!$B$4*12+M13)*(1+'Bank Products'!$E$16)-'Bank Products'!$F$16)</f>
        <v>107151.612596761</v>
      </c>
      <c r="N14" s="18" t="n">
        <f aca="false">MAX(0,('My Inputs'!$B$4*12+N13)*(1+'Bank Products'!$E$17)-'Bank Products'!$F$17)</f>
        <v>85481.1638472629</v>
      </c>
      <c r="O14" s="18" t="n">
        <f aca="false">MAX(0,('My Inputs'!$B$4*12+O13)*(1+'Bank Products'!$E$18)-'Bank Products'!$F$18)</f>
        <v>92429.2667699419</v>
      </c>
      <c r="P14" s="18" t="n">
        <f aca="false">MAX(0,('My Inputs'!$B$4*12+P13)*(1+'Bank Products'!$E$19)-'Bank Products'!$F$19)</f>
        <v>111162.695367836</v>
      </c>
    </row>
    <row r="15" customFormat="false" ht="15" hidden="false" customHeight="false" outlineLevel="0" collapsed="false">
      <c r="A15" s="17" t="n">
        <v>13</v>
      </c>
      <c r="B15" s="18" t="n">
        <f aca="false">MAX(0,('My Inputs'!$B$4*12+B14)*(1+'Bank Products'!$E$5)-'Bank Products'!$F$5)</f>
        <v>93107.559271046</v>
      </c>
      <c r="C15" s="18" t="n">
        <f aca="false">MAX(0,('My Inputs'!$B$4*12+C14)*(1+'Bank Products'!$E$6)-'Bank Products'!$F$6)</f>
        <v>102430.518612275</v>
      </c>
      <c r="D15" s="18" t="n">
        <f aca="false">MAX(0,('My Inputs'!$B$4*12+D14)*(1+'Bank Products'!$E$7)-'Bank Products'!$F$7)</f>
        <v>122037.960576252</v>
      </c>
      <c r="E15" s="18" t="n">
        <f aca="false">MAX(0,('My Inputs'!$B$4*12+E14)*(1+'Bank Products'!$E$8)-'Bank Products'!$F$8)</f>
        <v>92430.8421797693</v>
      </c>
      <c r="F15" s="18" t="n">
        <f aca="false">MAX(0,('My Inputs'!$B$4*12+F14)*(1+'Bank Products'!$E$9)-'Bank Products'!$F$9)</f>
        <v>103189.830257711</v>
      </c>
      <c r="G15" s="18" t="n">
        <f aca="false">MAX(0,('My Inputs'!$B$4*12+G14)*(1+'Bank Products'!$E$10)-'Bank Products'!$F$10)</f>
        <v>120669.75743368</v>
      </c>
      <c r="H15" s="18" t="n">
        <f aca="false">MAX(0,('My Inputs'!$B$4*12+H14)*(1+'Bank Products'!$E$11)-'Bank Products'!$F$11)</f>
        <v>92768.5056543421</v>
      </c>
      <c r="I15" s="18" t="n">
        <f aca="false">MAX(0,('My Inputs'!$B$4*12+I14)*(1+'Bank Products'!$E$12)-'Bank Products'!$F$12)</f>
        <v>102809.392981876</v>
      </c>
      <c r="J15" s="18" t="n">
        <f aca="false">MAX(0,('My Inputs'!$B$4*12+J14)*(1+'Bank Products'!$E$13)-'Bank Products'!$F$13)</f>
        <v>123423.195283958</v>
      </c>
      <c r="K15" s="18" t="n">
        <f aca="false">MAX(0,('My Inputs'!$B$4*12+K14)*(1+'Bank Products'!$E$14)-'Bank Products'!$F$14)</f>
        <v>92094.5630307956</v>
      </c>
      <c r="L15" s="18" t="n">
        <f aca="false">MAX(0,('My Inputs'!$B$4*12+L14)*(1+'Bank Products'!$E$15)-'Bank Products'!$F$15)</f>
        <v>103955.419703612</v>
      </c>
      <c r="M15" s="18" t="n">
        <f aca="false">MAX(0,('My Inputs'!$B$4*12+M14)*(1+'Bank Products'!$E$16)-'Bank Products'!$F$16)</f>
        <v>119318.375483284</v>
      </c>
      <c r="N15" s="18" t="n">
        <f aca="false">MAX(0,('My Inputs'!$B$4*12+N14)*(1+'Bank Products'!$E$17)-'Bank Products'!$F$17)</f>
        <v>93448.0088699791</v>
      </c>
      <c r="O15" s="18" t="n">
        <f aca="false">MAX(0,('My Inputs'!$B$4*12+O14)*(1+'Bank Products'!$E$18)-'Bank Products'!$F$18)</f>
        <v>101677.43257335</v>
      </c>
      <c r="P15" s="18" t="n">
        <f aca="false">MAX(0,('My Inputs'!$B$4*12+P14)*(1+'Bank Products'!$E$19)-'Bank Products'!$F$19)</f>
        <v>124169.024550833</v>
      </c>
    </row>
    <row r="16" customFormat="false" ht="15" hidden="false" customHeight="false" outlineLevel="0" collapsed="false">
      <c r="A16" s="17" t="n">
        <v>14</v>
      </c>
      <c r="B16" s="18" t="n">
        <f aca="false">MAX(0,('My Inputs'!$B$4*12+B15)*(1+'Bank Products'!$E$5)-'Bank Products'!$F$5)</f>
        <v>101188.818015738</v>
      </c>
      <c r="C16" s="18" t="n">
        <f aca="false">MAX(0,('My Inputs'!$B$4*12+C15)*(1+'Bank Products'!$E$6)-'Bank Products'!$F$6)</f>
        <v>112117.156245092</v>
      </c>
      <c r="D16" s="18" t="n">
        <f aca="false">MAX(0,('My Inputs'!$B$4*12+D15)*(1+'Bank Products'!$E$7)-'Bank Products'!$F$7)</f>
        <v>135400.143309386</v>
      </c>
      <c r="E16" s="18" t="n">
        <f aca="false">MAX(0,('My Inputs'!$B$4*12+E15)*(1+'Bank Products'!$E$8)-'Bank Products'!$F$8)</f>
        <v>100399.459023365</v>
      </c>
      <c r="F16" s="18" t="n">
        <f aca="false">MAX(0,('My Inputs'!$B$4*12+F15)*(1+'Bank Products'!$E$9)-'Bank Products'!$F$9)</f>
        <v>113011.474316731</v>
      </c>
      <c r="G16" s="18" t="n">
        <f aca="false">MAX(0,('My Inputs'!$B$4*12+G15)*(1+'Bank Products'!$E$10)-'Bank Products'!$F$10)</f>
        <v>133763.263849966</v>
      </c>
      <c r="H16" s="18" t="n">
        <f aca="false">MAX(0,('My Inputs'!$B$4*12+H15)*(1+'Bank Products'!$E$11)-'Bank Products'!$F$11)</f>
        <v>100793.260020256</v>
      </c>
      <c r="I16" s="18" t="n">
        <f aca="false">MAX(0,('My Inputs'!$B$4*12+I15)*(1+'Bank Products'!$E$12)-'Bank Products'!$F$12)</f>
        <v>112563.31703975</v>
      </c>
      <c r="J16" s="18" t="n">
        <f aca="false">MAX(0,('My Inputs'!$B$4*12+J15)*(1+'Bank Products'!$E$13)-'Bank Products'!$F$13)</f>
        <v>137059.163805712</v>
      </c>
      <c r="K16" s="18" t="n">
        <f aca="false">MAX(0,('My Inputs'!$B$4*12+K15)*(1+'Bank Products'!$E$14)-'Bank Products'!$F$14)</f>
        <v>100007.407009896</v>
      </c>
      <c r="L16" s="18" t="n">
        <f aca="false">MAX(0,('My Inputs'!$B$4*12+L15)*(1+'Bank Products'!$E$15)-'Bank Products'!$F$15)</f>
        <v>113913.814812943</v>
      </c>
      <c r="M16" s="18" t="n">
        <f aca="false">MAX(0,('My Inputs'!$B$4*12+M15)*(1+'Bank Products'!$E$16)-'Bank Products'!$F$16)</f>
        <v>132148.226947123</v>
      </c>
      <c r="N16" s="18" t="n">
        <f aca="false">MAX(0,('My Inputs'!$B$4*12+N15)*(1+'Bank Products'!$E$17)-'Bank Products'!$F$17)</f>
        <v>101586.141060684</v>
      </c>
      <c r="O16" s="18" t="n">
        <f aca="false">MAX(0,('My Inputs'!$B$4*12+O15)*(1+'Bank Products'!$E$18)-'Bank Products'!$F$18)</f>
        <v>111230.78784827</v>
      </c>
      <c r="P16" s="18" t="n">
        <f aca="false">MAX(0,('My Inputs'!$B$4*12+P15)*(1+'Bank Products'!$E$19)-'Bank Products'!$F$19)</f>
        <v>137953.132218973</v>
      </c>
    </row>
    <row r="17" customFormat="false" ht="15" hidden="false" customHeight="false" outlineLevel="0" collapsed="false">
      <c r="A17" s="17" t="n">
        <v>15</v>
      </c>
      <c r="B17" s="18" t="n">
        <f aca="false">MAX(0,('My Inputs'!$B$4*12+B16)*(1+'Bank Products'!$E$5)-'Bank Products'!$F$5)</f>
        <v>109439.783194068</v>
      </c>
      <c r="C17" s="18" t="n">
        <f aca="false">MAX(0,('My Inputs'!$B$4*12+C16)*(1+'Bank Products'!$E$6)-'Bank Products'!$F$6)</f>
        <v>122133.139557426</v>
      </c>
      <c r="D17" s="18" t="n">
        <f aca="false">MAX(0,('My Inputs'!$B$4*12+D16)*(1+'Bank Products'!$E$7)-'Bank Products'!$F$7)</f>
        <v>149530.651549676</v>
      </c>
      <c r="E17" s="18" t="n">
        <f aca="false">MAX(0,('My Inputs'!$B$4*12+E16)*(1+'Bank Products'!$E$8)-'Bank Products'!$F$8)</f>
        <v>108527.448203832</v>
      </c>
      <c r="F17" s="18" t="n">
        <f aca="false">MAX(0,('My Inputs'!$B$4*12+F16)*(1+'Bank Products'!$E$9)-'Bank Products'!$F$9)</f>
        <v>123176.875917816</v>
      </c>
      <c r="G17" s="18" t="n">
        <f aca="false">MAX(0,('My Inputs'!$B$4*12+G16)*(1+'Bank Products'!$E$10)-'Bank Products'!$F$10)</f>
        <v>147590.006625564</v>
      </c>
      <c r="H17" s="18" t="n">
        <f aca="false">MAX(0,('My Inputs'!$B$4*12+H16)*(1+'Bank Products'!$E$11)-'Bank Products'!$F$11)</f>
        <v>108982.521850671</v>
      </c>
      <c r="I17" s="18" t="n">
        <f aca="false">MAX(0,('My Inputs'!$B$4*12+I16)*(1+'Bank Products'!$E$12)-'Bank Products'!$F$12)</f>
        <v>122653.751477622</v>
      </c>
      <c r="J17" s="18" t="n">
        <f aca="false">MAX(0,('My Inputs'!$B$4*12+J16)*(1+'Bank Products'!$E$13)-'Bank Products'!$F$13)</f>
        <v>151499.654470249</v>
      </c>
      <c r="K17" s="18" t="n">
        <f aca="false">MAX(0,('My Inputs'!$B$4*12+K16)*(1+'Bank Products'!$E$14)-'Bank Products'!$F$14)</f>
        <v>108074.551446589</v>
      </c>
      <c r="L17" s="18" t="n">
        <f aca="false">MAX(0,('My Inputs'!$B$4*12+L16)*(1+'Bank Products'!$E$15)-'Bank Products'!$F$15)</f>
        <v>124230.712146208</v>
      </c>
      <c r="M17" s="18" t="n">
        <f aca="false">MAX(0,('My Inputs'!$B$4*12+M16)*(1+'Bank Products'!$E$16)-'Bank Products'!$F$16)</f>
        <v>145677.305315741</v>
      </c>
      <c r="N17" s="18" t="n">
        <f aca="false">MAX(0,('My Inputs'!$B$4*12+N16)*(1+'Bank Products'!$E$17)-'Bank Products'!$F$17)</f>
        <v>109899.243093488</v>
      </c>
      <c r="O17" s="18" t="n">
        <f aca="false">MAX(0,('My Inputs'!$B$4*12+O16)*(1+'Bank Products'!$E$18)-'Bank Products'!$F$18)</f>
        <v>121099.403847263</v>
      </c>
      <c r="P17" s="18" t="n">
        <f aca="false">MAX(0,('My Inputs'!$B$4*12+P16)*(1+'Bank Products'!$E$19)-'Bank Products'!$F$19)</f>
        <v>152561.529525667</v>
      </c>
    </row>
    <row r="18" customFormat="false" ht="15" hidden="false" customHeight="false" outlineLevel="0" collapsed="false">
      <c r="A18" s="17" t="n">
        <v>16</v>
      </c>
      <c r="B18" s="18" t="n">
        <f aca="false">MAX(0,('My Inputs'!$B$4*12+B17)*(1+'Bank Products'!$E$5)-'Bank Products'!$F$5)</f>
        <v>117864.018641144</v>
      </c>
      <c r="C18" s="18" t="n">
        <f aca="false">MAX(0,('My Inputs'!$B$4*12+C17)*(1+'Bank Products'!$E$6)-'Bank Products'!$F$6)</f>
        <v>132489.666302378</v>
      </c>
      <c r="D18" s="18" t="n">
        <f aca="false">MAX(0,('My Inputs'!$B$4*12+D17)*(1+'Bank Products'!$E$7)-'Bank Products'!$F$7)</f>
        <v>164473.664013782</v>
      </c>
      <c r="E18" s="18" t="n">
        <f aca="false">MAX(0,('My Inputs'!$B$4*12+E17)*(1+'Bank Products'!$E$8)-'Bank Products'!$F$8)</f>
        <v>116817.997167909</v>
      </c>
      <c r="F18" s="18" t="n">
        <f aca="false">MAX(0,('My Inputs'!$B$4*12+F17)*(1+'Bank Products'!$E$9)-'Bank Products'!$F$9)</f>
        <v>133698.06657494</v>
      </c>
      <c r="G18" s="18" t="n">
        <f aca="false">MAX(0,('My Inputs'!$B$4*12+G17)*(1+'Bank Products'!$E$10)-'Bank Products'!$F$10)</f>
        <v>162191.046996595</v>
      </c>
      <c r="H18" s="18" t="n">
        <f aca="false">MAX(0,('My Inputs'!$B$4*12+H17)*(1+'Bank Products'!$E$11)-'Bank Products'!$F$11)</f>
        <v>117339.66354861</v>
      </c>
      <c r="I18" s="18" t="n">
        <f aca="false">MAX(0,('My Inputs'!$B$4*12+I17)*(1+'Bank Products'!$E$12)-'Bank Products'!$F$12)</f>
        <v>133092.3059036</v>
      </c>
      <c r="J18" s="18" t="n">
        <f aca="false">MAX(0,('My Inputs'!$B$4*12+J17)*(1+'Bank Products'!$E$13)-'Bank Products'!$F$13)</f>
        <v>166792.134083994</v>
      </c>
      <c r="K18" s="18" t="n">
        <f aca="false">MAX(0,('My Inputs'!$B$4*12+K17)*(1+'Bank Products'!$E$14)-'Bank Products'!$F$14)</f>
        <v>116299.005199798</v>
      </c>
      <c r="L18" s="18" t="n">
        <f aca="false">MAX(0,('My Inputs'!$B$4*12+L17)*(1+'Bank Products'!$E$15)-'Bank Products'!$F$15)</f>
        <v>134919.017783472</v>
      </c>
      <c r="M18" s="18" t="n">
        <f aca="false">MAX(0,('My Inputs'!$B$4*12+M17)*(1+'Bank Products'!$E$16)-'Bank Products'!$F$16)</f>
        <v>159943.718455449</v>
      </c>
      <c r="N18" s="18" t="n">
        <f aca="false">MAX(0,('My Inputs'!$B$4*12+N17)*(1+'Bank Products'!$E$17)-'Bank Products'!$F$17)</f>
        <v>118391.076819998</v>
      </c>
      <c r="O18" s="18" t="n">
        <f aca="false">MAX(0,('My Inputs'!$B$4*12+O17)*(1+'Bank Products'!$E$18)-'Bank Products'!$F$18)</f>
        <v>131293.684174223</v>
      </c>
      <c r="P18" s="18" t="n">
        <f aca="false">MAX(0,('My Inputs'!$B$4*12+P17)*(1+'Bank Products'!$E$19)-'Bank Products'!$F$19)</f>
        <v>168043.508991302</v>
      </c>
    </row>
    <row r="19" customFormat="false" ht="15" hidden="false" customHeight="false" outlineLevel="0" collapsed="false">
      <c r="A19" s="17" t="n">
        <v>17</v>
      </c>
      <c r="B19" s="18" t="n">
        <f aca="false">MAX(0,('My Inputs'!$B$4*12+B18)*(1+'Bank Products'!$E$5)-'Bank Products'!$F$5)</f>
        <v>126465.163032608</v>
      </c>
      <c r="C19" s="18" t="n">
        <f aca="false">MAX(0,('My Inputs'!$B$4*12+C18)*(1+'Bank Products'!$E$6)-'Bank Products'!$F$6)</f>
        <v>143198.314956659</v>
      </c>
      <c r="D19" s="18" t="n">
        <f aca="false">MAX(0,('My Inputs'!$B$4*12+D18)*(1+'Bank Products'!$E$7)-'Bank Products'!$F$7)</f>
        <v>180275.899694575</v>
      </c>
      <c r="E19" s="18" t="n">
        <f aca="false">MAX(0,('My Inputs'!$B$4*12+E18)*(1+'Bank Products'!$E$8)-'Bank Products'!$F$8)</f>
        <v>125274.357111267</v>
      </c>
      <c r="F19" s="18" t="n">
        <f aca="false">MAX(0,('My Inputs'!$B$4*12+F18)*(1+'Bank Products'!$E$9)-'Bank Products'!$F$9)</f>
        <v>144587.498905063</v>
      </c>
      <c r="G19" s="18" t="n">
        <f aca="false">MAX(0,('My Inputs'!$B$4*12+G18)*(1+'Bank Products'!$E$10)-'Bank Products'!$F$10)</f>
        <v>177609.745628405</v>
      </c>
      <c r="H19" s="18" t="n">
        <f aca="false">MAX(0,('My Inputs'!$B$4*12+H18)*(1+'Bank Products'!$E$11)-'Bank Products'!$F$11)</f>
        <v>125868.126651357</v>
      </c>
      <c r="I19" s="18" t="n">
        <f aca="false">MAX(0,('My Inputs'!$B$4*12+I18)*(1+'Bank Products'!$E$12)-'Bank Products'!$F$12)</f>
        <v>143890.990457274</v>
      </c>
      <c r="J19" s="18" t="n">
        <f aca="false">MAX(0,('My Inputs'!$B$4*12+J18)*(1+'Bank Products'!$E$13)-'Bank Products'!$F$13)</f>
        <v>182986.869994949</v>
      </c>
      <c r="K19" s="18" t="n">
        <f aca="false">MAX(0,('My Inputs'!$B$4*12+K18)*(1+'Bank Products'!$E$14)-'Bank Products'!$F$14)</f>
        <v>124683.835801194</v>
      </c>
      <c r="L19" s="18" t="n">
        <f aca="false">MAX(0,('My Inputs'!$B$4*12+L18)*(1+'Bank Products'!$E$15)-'Bank Products'!$F$15)</f>
        <v>145992.102423677</v>
      </c>
      <c r="M19" s="18" t="n">
        <f aca="false">MAX(0,('My Inputs'!$B$4*12+M18)*(1+'Bank Products'!$E$16)-'Bank Products'!$F$16)</f>
        <v>174987.651111271</v>
      </c>
      <c r="N19" s="18" t="n">
        <f aca="false">MAX(0,('My Inputs'!$B$4*12+N18)*(1+'Bank Products'!$E$17)-'Bank Products'!$F$17)</f>
        <v>127065.484971628</v>
      </c>
      <c r="O19" s="18" t="n">
        <f aca="false">MAX(0,('My Inputs'!$B$4*12+O18)*(1+'Bank Products'!$E$18)-'Bank Products'!$F$18)</f>
        <v>141824.375751972</v>
      </c>
      <c r="P19" s="18" t="n">
        <f aca="false">MAX(0,('My Inputs'!$B$4*12+P18)*(1+'Bank Products'!$E$19)-'Bank Products'!$F$19)</f>
        <v>184451.310828982</v>
      </c>
    </row>
    <row r="20" customFormat="false" ht="15" hidden="false" customHeight="false" outlineLevel="0" collapsed="false">
      <c r="A20" s="17" t="n">
        <v>18</v>
      </c>
      <c r="B20" s="18" t="n">
        <f aca="false">MAX(0,('My Inputs'!$B$4*12+B19)*(1+'Bank Products'!$E$5)-'Bank Products'!$F$5)</f>
        <v>135246.931456293</v>
      </c>
      <c r="C20" s="18" t="n">
        <f aca="false">MAX(0,('My Inputs'!$B$4*12+C19)*(1+'Bank Products'!$E$6)-'Bank Products'!$F$6)</f>
        <v>154271.057665185</v>
      </c>
      <c r="D20" s="18" t="n">
        <f aca="false">MAX(0,('My Inputs'!$B$4*12+D19)*(1+'Bank Products'!$E$7)-'Bank Products'!$F$7)</f>
        <v>196986.763927013</v>
      </c>
      <c r="E20" s="18" t="n">
        <f aca="false">MAX(0,('My Inputs'!$B$4*12+E19)*(1+'Bank Products'!$E$8)-'Bank Products'!$F$8)</f>
        <v>133899.844253492</v>
      </c>
      <c r="F20" s="18" t="n">
        <f aca="false">MAX(0,('My Inputs'!$B$4*12+F19)*(1+'Bank Products'!$E$9)-'Bank Products'!$F$9)</f>
        <v>155858.06136674</v>
      </c>
      <c r="G20" s="18" t="n">
        <f aca="false">MAX(0,('My Inputs'!$B$4*12+G19)*(1+'Bank Products'!$E$10)-'Bank Products'!$F$10)</f>
        <v>193891.891383595</v>
      </c>
      <c r="H20" s="18" t="n">
        <f aca="false">MAX(0,('My Inputs'!$B$4*12+H19)*(1+'Bank Products'!$E$11)-'Bank Products'!$F$11)</f>
        <v>134571.423247709</v>
      </c>
      <c r="I20" s="18" t="n">
        <f aca="false">MAX(0,('My Inputs'!$B$4*12+I19)*(1+'Bank Products'!$E$12)-'Bank Products'!$F$12)</f>
        <v>155062.22962805</v>
      </c>
      <c r="J20" s="18" t="n">
        <f aca="false">MAX(0,('My Inputs'!$B$4*12+J19)*(1+'Bank Products'!$E$13)-'Bank Products'!$F$13)</f>
        <v>200137.095324651</v>
      </c>
      <c r="K20" s="18" t="n">
        <f aca="false">MAX(0,('My Inputs'!$B$4*12+K19)*(1+'Bank Products'!$E$14)-'Bank Products'!$F$14)</f>
        <v>133232.170599317</v>
      </c>
      <c r="L20" s="18" t="n">
        <f aca="false">MAX(0,('My Inputs'!$B$4*12+L19)*(1+'Bank Products'!$E$15)-'Bank Products'!$F$15)</f>
        <v>157463.818110929</v>
      </c>
      <c r="M20" s="18" t="n">
        <f aca="false">MAX(0,('My Inputs'!$B$4*12+M19)*(1+'Bank Products'!$E$16)-'Bank Products'!$F$16)</f>
        <v>190851.478096835</v>
      </c>
      <c r="N20" s="18" t="n">
        <f aca="false">MAX(0,('My Inputs'!$B$4*12+N19)*(1+'Bank Products'!$E$17)-'Bank Products'!$F$17)</f>
        <v>135926.392898518</v>
      </c>
      <c r="O20" s="18" t="n">
        <f aca="false">MAX(0,('My Inputs'!$B$4*12+O19)*(1+'Bank Products'!$E$18)-'Bank Products'!$F$18)</f>
        <v>152702.580151788</v>
      </c>
      <c r="P20" s="18" t="n">
        <f aca="false">MAX(0,('My Inputs'!$B$4*12+P19)*(1+'Bank Products'!$E$19)-'Bank Products'!$F$19)</f>
        <v>201840.299216555</v>
      </c>
    </row>
    <row r="21" customFormat="false" ht="15" hidden="false" customHeight="false" outlineLevel="0" collapsed="false">
      <c r="A21" s="17" t="n">
        <v>19</v>
      </c>
      <c r="B21" s="18" t="n">
        <f aca="false">MAX(0,('My Inputs'!$B$4*12+B20)*(1+'Bank Products'!$E$5)-'Bank Products'!$F$5)</f>
        <v>144213.117016875</v>
      </c>
      <c r="C21" s="18" t="n">
        <f aca="false">MAX(0,('My Inputs'!$B$4*12+C20)*(1+'Bank Products'!$E$6)-'Bank Products'!$F$6)</f>
        <v>165720.273625802</v>
      </c>
      <c r="D21" s="18" t="n">
        <f aca="false">MAX(0,('My Inputs'!$B$4*12+D20)*(1+'Bank Products'!$E$7)-'Bank Products'!$F$7)</f>
        <v>214658.502852816</v>
      </c>
      <c r="E21" s="18" t="n">
        <f aca="false">MAX(0,('My Inputs'!$B$4*12+E20)*(1+'Bank Products'!$E$8)-'Bank Products'!$F$8)</f>
        <v>142697.841138562</v>
      </c>
      <c r="F21" s="18" t="n">
        <f aca="false">MAX(0,('My Inputs'!$B$4*12+F20)*(1+'Bank Products'!$E$9)-'Bank Products'!$F$9)</f>
        <v>167523.093514576</v>
      </c>
      <c r="G21" s="18" t="n">
        <f aca="false">MAX(0,('My Inputs'!$B$4*12+G20)*(1+'Bank Products'!$E$10)-'Bank Products'!$F$10)</f>
        <v>211085.837301077</v>
      </c>
      <c r="H21" s="18" t="n">
        <f aca="false">MAX(0,('My Inputs'!$B$4*12+H20)*(1+'Bank Products'!$E$11)-'Bank Products'!$F$11)</f>
        <v>143453.137424287</v>
      </c>
      <c r="I21" s="18" t="n">
        <f aca="false">MAX(0,('My Inputs'!$B$4*12+I20)*(1+'Bank Products'!$E$12)-'Bank Products'!$F$12)</f>
        <v>166618.876550217</v>
      </c>
      <c r="J21" s="18" t="n">
        <f aca="false">MAX(0,('My Inputs'!$B$4*12+J20)*(1+'Bank Products'!$E$13)-'Bank Products'!$F$13)</f>
        <v>218299.183948806</v>
      </c>
      <c r="K21" s="18" t="n">
        <f aca="false">MAX(0,('My Inputs'!$B$4*12+K20)*(1+'Bank Products'!$E$14)-'Bank Products'!$F$14)</f>
        <v>141947.197926004</v>
      </c>
      <c r="L21" s="18" t="n">
        <f aca="false">MAX(0,('My Inputs'!$B$4*12+L20)*(1+'Bank Products'!$E$15)-'Bank Products'!$F$15)</f>
        <v>169348.515562923</v>
      </c>
      <c r="M21" s="18" t="n">
        <f aca="false">MAX(0,('My Inputs'!$B$4*12+M20)*(1+'Bank Products'!$E$16)-'Bank Products'!$F$16)</f>
        <v>207579.883653113</v>
      </c>
      <c r="N21" s="18" t="n">
        <f aca="false">MAX(0,('My Inputs'!$B$4*12+N20)*(1+'Bank Products'!$E$17)-'Bank Products'!$F$17)</f>
        <v>144977.810345837</v>
      </c>
      <c r="O21" s="18" t="n">
        <f aca="false">MAX(0,('My Inputs'!$B$4*12+O20)*(1+'Bank Products'!$E$18)-'Bank Products'!$F$18)</f>
        <v>163939.765296797</v>
      </c>
      <c r="P21" s="18" t="n">
        <f aca="false">MAX(0,('My Inputs'!$B$4*12+P20)*(1+'Bank Products'!$E$19)-'Bank Products'!$F$19)</f>
        <v>220269.149109705</v>
      </c>
    </row>
    <row r="22" customFormat="false" ht="15" hidden="false" customHeight="false" outlineLevel="0" collapsed="false">
      <c r="A22" s="17" t="n">
        <v>20</v>
      </c>
      <c r="B22" s="18" t="n">
        <f aca="false">MAX(0,('My Inputs'!$B$4*12+B21)*(1+'Bank Products'!$E$5)-'Bank Products'!$F$5)</f>
        <v>153367.592474229</v>
      </c>
      <c r="C22" s="18" t="n">
        <f aca="false">MAX(0,('My Inputs'!$B$4*12+C21)*(1+'Bank Products'!$E$6)-'Bank Products'!$F$6)</f>
        <v>177558.762929079</v>
      </c>
      <c r="D22" s="18" t="n">
        <f aca="false">MAX(0,('My Inputs'!$B$4*12+D21)*(1+'Bank Products'!$E$7)-'Bank Products'!$F$7)</f>
        <v>233346.366766853</v>
      </c>
      <c r="E22" s="18" t="n">
        <f aca="false">MAX(0,('My Inputs'!$B$4*12+E21)*(1+'Bank Products'!$E$8)-'Bank Products'!$F$8)</f>
        <v>151671.797961333</v>
      </c>
      <c r="F22" s="18" t="n">
        <f aca="false">MAX(0,('My Inputs'!$B$4*12+F21)*(1+'Bank Products'!$E$9)-'Bank Products'!$F$9)</f>
        <v>179596.401787586</v>
      </c>
      <c r="G22" s="18" t="n">
        <f aca="false">MAX(0,('My Inputs'!$B$4*12+G21)*(1+'Bank Products'!$E$10)-'Bank Products'!$F$10)</f>
        <v>229242.644189937</v>
      </c>
      <c r="H22" s="18" t="n">
        <f aca="false">MAX(0,('My Inputs'!$B$4*12+H21)*(1+'Bank Products'!$E$11)-'Bank Products'!$F$11)</f>
        <v>152516.926741485</v>
      </c>
      <c r="I22" s="18" t="n">
        <f aca="false">MAX(0,('My Inputs'!$B$4*12+I21)*(1+'Bank Products'!$E$12)-'Bank Products'!$F$12)</f>
        <v>178574.2277912</v>
      </c>
      <c r="J22" s="18" t="n">
        <f aca="false">MAX(0,('My Inputs'!$B$4*12+J21)*(1+'Bank Products'!$E$13)-'Bank Products'!$F$13)</f>
        <v>237532.835801785</v>
      </c>
      <c r="K22" s="18" t="n">
        <f aca="false">MAX(0,('My Inputs'!$B$4*12+K21)*(1+'Bank Products'!$E$14)-'Bank Products'!$F$14)</f>
        <v>150832.168285561</v>
      </c>
      <c r="L22" s="18" t="n">
        <f aca="false">MAX(0,('My Inputs'!$B$4*12+L21)*(1+'Bank Products'!$E$15)-'Bank Products'!$F$15)</f>
        <v>181661.062123188</v>
      </c>
      <c r="M22" s="18" t="n">
        <f aca="false">MAX(0,('My Inputs'!$B$4*12+M21)*(1+'Bank Products'!$E$16)-'Bank Products'!$F$16)</f>
        <v>225219.987312207</v>
      </c>
      <c r="N22" s="18" t="n">
        <f aca="false">MAX(0,('My Inputs'!$B$4*12+N21)*(1+'Bank Products'!$E$17)-'Bank Products'!$F$17)</f>
        <v>154223.833268272</v>
      </c>
      <c r="O22" s="18" t="n">
        <f aca="false">MAX(0,('My Inputs'!$B$4*12+O21)*(1+'Bank Products'!$E$18)-'Bank Products'!$F$18)</f>
        <v>175547.777551591</v>
      </c>
      <c r="P22" s="18" t="n">
        <f aca="false">MAX(0,('My Inputs'!$B$4*12+P21)*(1+'Bank Products'!$E$19)-'Bank Products'!$F$19)</f>
        <v>239800.044226465</v>
      </c>
    </row>
    <row r="23" customFormat="false" ht="15" hidden="false" customHeight="false" outlineLevel="0" collapsed="false">
      <c r="A23" s="17" t="n">
        <v>21</v>
      </c>
      <c r="B23" s="18" t="n">
        <f aca="false">MAX(0,('My Inputs'!$B$4*12+B22)*(1+'Bank Products'!$E$5)-'Bank Products'!$F$5)</f>
        <v>162714.311916188</v>
      </c>
      <c r="C23" s="18" t="n">
        <f aca="false">MAX(0,('My Inputs'!$B$4*12+C22)*(1+'Bank Products'!$E$6)-'Bank Products'!$F$6)</f>
        <v>189799.760868667</v>
      </c>
      <c r="D23" s="18" t="n">
        <f aca="false">MAX(0,('My Inputs'!$B$4*12+D22)*(1+'Bank Products'!$E$7)-'Bank Products'!$F$7)</f>
        <v>253108.782855947</v>
      </c>
      <c r="E23" s="18" t="n">
        <f aca="false">MAX(0,('My Inputs'!$B$4*12+E22)*(1+'Bank Products'!$E$8)-'Bank Products'!$F$8)</f>
        <v>160825.23392056</v>
      </c>
      <c r="F23" s="18" t="n">
        <f aca="false">MAX(0,('My Inputs'!$B$4*12+F22)*(1+'Bank Products'!$E$9)-'Bank Products'!$F$9)</f>
        <v>192092.275850151</v>
      </c>
      <c r="G23" s="18" t="n">
        <f aca="false">MAX(0,('My Inputs'!$B$4*12+G22)*(1+'Bank Products'!$E$10)-'Bank Products'!$F$10)</f>
        <v>248416.232264574</v>
      </c>
      <c r="H23" s="18" t="n">
        <f aca="false">MAX(0,('My Inputs'!$B$4*12+H22)*(1+'Bank Products'!$E$11)-'Bank Products'!$F$11)</f>
        <v>161766.523739686</v>
      </c>
      <c r="I23" s="18" t="n">
        <f aca="false">MAX(0,('My Inputs'!$B$4*12+I22)*(1+'Bank Products'!$E$12)-'Bank Products'!$F$12)</f>
        <v>190942.038649996</v>
      </c>
      <c r="J23" s="18" t="n">
        <f aca="false">MAX(0,('My Inputs'!$B$4*12+J22)*(1+'Bank Products'!$E$13)-'Bank Products'!$F$13)</f>
        <v>257901.27311409</v>
      </c>
      <c r="K23" s="18" t="n">
        <f aca="false">MAX(0,('My Inputs'!$B$4*12+K22)*(1+'Bank Products'!$E$14)-'Bank Products'!$F$14)</f>
        <v>159890.395567129</v>
      </c>
      <c r="L23" s="18" t="n">
        <f aca="false">MAX(0,('My Inputs'!$B$4*12+L22)*(1+'Bank Products'!$E$15)-'Bank Products'!$F$15)</f>
        <v>194416.860359623</v>
      </c>
      <c r="M23" s="18" t="n">
        <f aca="false">MAX(0,('My Inputs'!$B$4*12+M22)*(1+'Bank Products'!$E$16)-'Bank Products'!$F$16)</f>
        <v>243821.476620723</v>
      </c>
      <c r="N23" s="18" t="n">
        <f aca="false">MAX(0,('My Inputs'!$B$4*12+N22)*(1+'Bank Products'!$E$17)-'Bank Products'!$F$17)</f>
        <v>163668.64568354</v>
      </c>
      <c r="O23" s="18" t="n">
        <f aca="false">MAX(0,('My Inputs'!$B$4*12+O22)*(1+'Bank Products'!$E$18)-'Bank Products'!$F$18)</f>
        <v>187538.854210793</v>
      </c>
      <c r="P23" s="18" t="n">
        <f aca="false">MAX(0,('My Inputs'!$B$4*12+P22)*(1+'Bank Products'!$E$19)-'Bank Products'!$F$19)</f>
        <v>260498.886871208</v>
      </c>
    </row>
    <row r="24" customFormat="false" ht="15" hidden="false" customHeight="false" outlineLevel="0" collapsed="false">
      <c r="A24" s="17" t="n">
        <v>22</v>
      </c>
      <c r="B24" s="18" t="n">
        <f aca="false">MAX(0,('My Inputs'!$B$4*12+B23)*(1+'Bank Products'!$E$5)-'Bank Products'!$F$5)</f>
        <v>172257.312466428</v>
      </c>
      <c r="C24" s="18" t="n">
        <f aca="false">MAX(0,('My Inputs'!$B$4*12+C23)*(1+'Bank Products'!$E$6)-'Bank Products'!$F$6)</f>
        <v>202456.952738202</v>
      </c>
      <c r="D24" s="18" t="n">
        <f aca="false">MAX(0,('My Inputs'!$B$4*12+D23)*(1+'Bank Products'!$E$7)-'Bank Products'!$F$7)</f>
        <v>274007.537870164</v>
      </c>
      <c r="E24" s="18" t="n">
        <f aca="false">MAX(0,('My Inputs'!$B$4*12+E23)*(1+'Bank Products'!$E$8)-'Bank Products'!$F$8)</f>
        <v>170161.738598971</v>
      </c>
      <c r="F24" s="18" t="n">
        <f aca="false">MAX(0,('My Inputs'!$B$4*12+F23)*(1+'Bank Products'!$E$9)-'Bank Products'!$F$9)</f>
        <v>205025.505504907</v>
      </c>
      <c r="G24" s="18" t="n">
        <f aca="false">MAX(0,('My Inputs'!$B$4*12+G23)*(1+'Bank Products'!$E$10)-'Bank Products'!$F$10)</f>
        <v>268663.54127139</v>
      </c>
      <c r="H24" s="18" t="n">
        <f aca="false">MAX(0,('My Inputs'!$B$4*12+H23)*(1+'Bank Products'!$E$11)-'Bank Products'!$F$11)</f>
        <v>171205.737476349</v>
      </c>
      <c r="I24" s="18" t="n">
        <f aca="false">MAX(0,('My Inputs'!$B$4*12+I23)*(1+'Bank Products'!$E$12)-'Bank Products'!$F$12)</f>
        <v>203736.538983421</v>
      </c>
      <c r="J24" s="18" t="n">
        <f aca="false">MAX(0,('My Inputs'!$B$4*12+J23)*(1+'Bank Products'!$E$13)-'Bank Products'!$F$13)</f>
        <v>279471.448227822</v>
      </c>
      <c r="K24" s="18" t="n">
        <f aca="false">MAX(0,('My Inputs'!$B$4*12+K23)*(1+'Bank Products'!$E$14)-'Bank Products'!$F$14)</f>
        <v>169125.258280688</v>
      </c>
      <c r="L24" s="18" t="n">
        <f aca="false">MAX(0,('My Inputs'!$B$4*12+L23)*(1+'Bank Products'!$E$15)-'Bank Products'!$F$15)</f>
        <v>207631.867332569</v>
      </c>
      <c r="M24" s="18" t="n">
        <f aca="false">MAX(0,('My Inputs'!$B$4*12+M23)*(1+'Bank Products'!$E$16)-'Bank Products'!$F$16)</f>
        <v>263436.747096552</v>
      </c>
      <c r="N24" s="18" t="n">
        <f aca="false">MAX(0,('My Inputs'!$B$4*12+N23)*(1+'Bank Products'!$E$17)-'Bank Products'!$F$17)</f>
        <v>173316.521565736</v>
      </c>
      <c r="O24" s="18" t="n">
        <f aca="false">MAX(0,('My Inputs'!$B$4*12+O23)*(1+'Bank Products'!$E$18)-'Bank Products'!$F$18)</f>
        <v>199925.636399749</v>
      </c>
      <c r="P24" s="18" t="n">
        <f aca="false">MAX(0,('My Inputs'!$B$4*12+P23)*(1+'Bank Products'!$E$19)-'Bank Products'!$F$19)</f>
        <v>282435.520306106</v>
      </c>
    </row>
    <row r="25" customFormat="false" ht="15" hidden="false" customHeight="false" outlineLevel="0" collapsed="false">
      <c r="A25" s="17" t="n">
        <v>23</v>
      </c>
      <c r="B25" s="18" t="n">
        <f aca="false">MAX(0,('My Inputs'!$B$4*12+B24)*(1+'Bank Products'!$E$5)-'Bank Products'!$F$5)</f>
        <v>182000.716028223</v>
      </c>
      <c r="C25" s="18" t="n">
        <f aca="false">MAX(0,('My Inputs'!$B$4*12+C24)*(1+'Bank Products'!$E$6)-'Bank Products'!$F$6)</f>
        <v>215544.489131301</v>
      </c>
      <c r="D25" s="18" t="n">
        <f aca="false">MAX(0,('My Inputs'!$B$4*12+D24)*(1+'Bank Products'!$E$7)-'Bank Products'!$F$7)</f>
        <v>296107.971297699</v>
      </c>
      <c r="E25" s="18" t="n">
        <f aca="false">MAX(0,('My Inputs'!$B$4*12+E24)*(1+'Bank Products'!$E$8)-'Bank Products'!$F$8)</f>
        <v>179684.97337095</v>
      </c>
      <c r="F25" s="18" t="n">
        <f aca="false">MAX(0,('My Inputs'!$B$4*12+F24)*(1+'Bank Products'!$E$9)-'Bank Products'!$F$9)</f>
        <v>218411.398197578</v>
      </c>
      <c r="G25" s="18" t="n">
        <f aca="false">MAX(0,('My Inputs'!$B$4*12+G24)*(1+'Bank Products'!$E$10)-'Bank Products'!$F$10)</f>
        <v>290044.699582588</v>
      </c>
      <c r="H25" s="18" t="n">
        <f aca="false">MAX(0,('My Inputs'!$B$4*12+H24)*(1+'Bank Products'!$E$11)-'Bank Products'!$F$11)</f>
        <v>180838.455094615</v>
      </c>
      <c r="I25" s="18" t="n">
        <f aca="false">MAX(0,('My Inputs'!$B$4*12+I24)*(1+'Bank Products'!$E$12)-'Bank Products'!$F$12)</f>
        <v>216972.449578349</v>
      </c>
      <c r="J25" s="18" t="n">
        <f aca="false">MAX(0,('My Inputs'!$B$4*12+J24)*(1+'Bank Products'!$E$13)-'Bank Products'!$F$13)</f>
        <v>302314.263673263</v>
      </c>
      <c r="K25" s="18" t="n">
        <f aca="false">MAX(0,('My Inputs'!$B$4*12+K24)*(1+'Bank Products'!$E$14)-'Bank Products'!$F$14)</f>
        <v>178540.200817162</v>
      </c>
      <c r="L25" s="18" t="n">
        <f aca="false">MAX(0,('My Inputs'!$B$4*12+L24)*(1+'Bank Products'!$E$15)-'Bank Products'!$F$15)</f>
        <v>221322.614556542</v>
      </c>
      <c r="M25" s="18" t="n">
        <f aca="false">MAX(0,('My Inputs'!$B$4*12+M24)*(1+'Bank Products'!$E$16)-'Bank Products'!$F$16)</f>
        <v>284121.049813314</v>
      </c>
      <c r="N25" s="18" t="n">
        <f aca="false">MAX(0,('My Inputs'!$B$4*12+N24)*(1+'Bank Products'!$E$17)-'Bank Products'!$F$17)</f>
        <v>183171.826779399</v>
      </c>
      <c r="O25" s="18" t="n">
        <f aca="false">MAX(0,('My Inputs'!$B$4*12+O24)*(1+'Bank Products'!$E$18)-'Bank Products'!$F$18)</f>
        <v>212721.182400941</v>
      </c>
      <c r="P25" s="18" t="n">
        <f aca="false">MAX(0,('My Inputs'!$B$4*12+P24)*(1+'Bank Products'!$E$19)-'Bank Products'!$F$19)</f>
        <v>305683.964420412</v>
      </c>
    </row>
    <row r="26" customFormat="false" ht="15" hidden="false" customHeight="false" outlineLevel="0" collapsed="false">
      <c r="A26" s="17" t="n">
        <v>24</v>
      </c>
      <c r="B26" s="18" t="n">
        <f aca="false">MAX(0,('My Inputs'!$B$4*12+B25)*(1+'Bank Products'!$E$5)-'Bank Products'!$F$5)</f>
        <v>191948.731064815</v>
      </c>
      <c r="C26" s="18" t="n">
        <f aca="false">MAX(0,('My Inputs'!$B$4*12+C25)*(1+'Bank Products'!$E$6)-'Bank Products'!$F$6)</f>
        <v>229077.001761765</v>
      </c>
      <c r="D26" s="18" t="n">
        <f aca="false">MAX(0,('My Inputs'!$B$4*12+D25)*(1+'Bank Products'!$E$7)-'Bank Products'!$F$7)</f>
        <v>319479.179647316</v>
      </c>
      <c r="E26" s="18" t="n">
        <f aca="false">MAX(0,('My Inputs'!$B$4*12+E25)*(1+'Bank Products'!$E$8)-'Bank Products'!$F$8)</f>
        <v>189398.672838369</v>
      </c>
      <c r="F26" s="18" t="n">
        <f aca="false">MAX(0,('My Inputs'!$B$4*12+F25)*(1+'Bank Products'!$E$9)-'Bank Products'!$F$9)</f>
        <v>232265.797134494</v>
      </c>
      <c r="G26" s="18" t="n">
        <f aca="false">MAX(0,('My Inputs'!$B$4*12+G25)*(1+'Bank Products'!$E$10)-'Bank Products'!$F$10)</f>
        <v>312623.202759213</v>
      </c>
      <c r="H26" s="18" t="n">
        <f aca="false">MAX(0,('My Inputs'!$B$4*12+H25)*(1+'Bank Products'!$E$11)-'Bank Products'!$F$11)</f>
        <v>190668.643424054</v>
      </c>
      <c r="I26" s="18" t="n">
        <f aca="false">MAX(0,('My Inputs'!$B$4*12+I25)*(1+'Bank Products'!$E$12)-'Bank Products'!$F$12)</f>
        <v>230664.999088802</v>
      </c>
      <c r="J26" s="18" t="n">
        <f aca="false">MAX(0,('My Inputs'!$B$4*12+J25)*(1+'Bank Products'!$E$13)-'Bank Products'!$F$13)</f>
        <v>326504.805229986</v>
      </c>
      <c r="K26" s="18" t="n">
        <f aca="false">MAX(0,('My Inputs'!$B$4*12+K25)*(1+'Bank Products'!$E$14)-'Bank Products'!$F$14)</f>
        <v>188138.734733096</v>
      </c>
      <c r="L26" s="18" t="n">
        <f aca="false">MAX(0,('My Inputs'!$B$4*12+L25)*(1+'Bank Products'!$E$15)-'Bank Products'!$F$15)</f>
        <v>235506.228680577</v>
      </c>
      <c r="M26" s="18" t="n">
        <f aca="false">MAX(0,('My Inputs'!$B$4*12+M25)*(1+'Bank Products'!$E$16)-'Bank Products'!$F$16)</f>
        <v>305932.64702814</v>
      </c>
      <c r="N26" s="18" t="n">
        <f aca="false">MAX(0,('My Inputs'!$B$4*12+N25)*(1+'Bank Products'!$E$17)-'Bank Products'!$F$17)</f>
        <v>193239.021055156</v>
      </c>
      <c r="O26" s="18" t="n">
        <f aca="false">MAX(0,('My Inputs'!$B$4*12+O25)*(1+'Bank Products'!$E$18)-'Bank Products'!$F$18)</f>
        <v>225938.981420172</v>
      </c>
      <c r="P26" s="18" t="n">
        <f aca="false">MAX(0,('My Inputs'!$B$4*12+P25)*(1+'Bank Products'!$E$19)-'Bank Products'!$F$19)</f>
        <v>330322.665492752</v>
      </c>
    </row>
    <row r="27" customFormat="false" ht="15" hidden="false" customHeight="false" outlineLevel="0" collapsed="false">
      <c r="A27" s="17" t="n">
        <v>25</v>
      </c>
      <c r="B27" s="18" t="n">
        <f aca="false">MAX(0,('My Inputs'!$B$4*12+B26)*(1+'Bank Products'!$E$5)-'Bank Products'!$F$5)</f>
        <v>202105.654417177</v>
      </c>
      <c r="C27" s="18" t="n">
        <f aca="false">MAX(0,('My Inputs'!$B$4*12+C26)*(1+'Bank Products'!$E$6)-'Bank Products'!$F$6)</f>
        <v>243069.619821665</v>
      </c>
      <c r="D27" s="18" t="n">
        <f aca="false">MAX(0,('My Inputs'!$B$4*12+D26)*(1+'Bank Products'!$E$7)-'Bank Products'!$F$7)</f>
        <v>344194.232477037</v>
      </c>
      <c r="E27" s="18" t="n">
        <f aca="false">MAX(0,('My Inputs'!$B$4*12+E26)*(1+'Bank Products'!$E$8)-'Bank Products'!$F$8)</f>
        <v>199306.646295137</v>
      </c>
      <c r="F27" s="18" t="n">
        <f aca="false">MAX(0,('My Inputs'!$B$4*12+F26)*(1+'Bank Products'!$E$9)-'Bank Products'!$F$9)</f>
        <v>246605.100034201</v>
      </c>
      <c r="G27" s="18" t="n">
        <f aca="false">MAX(0,('My Inputs'!$B$4*12+G26)*(1+'Bank Products'!$E$10)-'Bank Products'!$F$10)</f>
        <v>336466.102113728</v>
      </c>
      <c r="H27" s="18" t="n">
        <f aca="false">MAX(0,('My Inputs'!$B$4*12+H26)*(1+'Bank Products'!$E$11)-'Bank Products'!$F$11)</f>
        <v>200700.350614247</v>
      </c>
      <c r="I27" s="18" t="n">
        <f aca="false">MAX(0,('My Inputs'!$B$4*12+I26)*(1+'Bank Products'!$E$12)-'Bank Products'!$F$12)</f>
        <v>244829.941557366</v>
      </c>
      <c r="J27" s="18" t="n">
        <f aca="false">MAX(0,('My Inputs'!$B$4*12+J26)*(1+'Bank Products'!$E$13)-'Bank Products'!$F$13)</f>
        <v>352122.588738555</v>
      </c>
      <c r="K27" s="18" t="n">
        <f aca="false">MAX(0,('My Inputs'!$B$4*12+K26)*(1+'Bank Products'!$E$14)-'Bank Products'!$F$14)</f>
        <v>197924.440060392</v>
      </c>
      <c r="L27" s="18" t="n">
        <f aca="false">MAX(0,('My Inputs'!$B$4*12+L26)*(1+'Bank Products'!$E$15)-'Bank Products'!$F$15)</f>
        <v>250200.452913078</v>
      </c>
      <c r="M27" s="18" t="n">
        <f aca="false">MAX(0,('My Inputs'!$B$4*12+M26)*(1+'Bank Products'!$E$16)-'Bank Products'!$F$16)</f>
        <v>328932.976291173</v>
      </c>
      <c r="N27" s="18" t="n">
        <f aca="false">MAX(0,('My Inputs'!$B$4*12+N26)*(1+'Bank Products'!$E$17)-'Bank Products'!$F$17)</f>
        <v>203522.660007842</v>
      </c>
      <c r="O27" s="18" t="n">
        <f aca="false">MAX(0,('My Inputs'!$B$4*12+O26)*(1+'Bank Products'!$E$18)-'Bank Products'!$F$18)</f>
        <v>239592.967807038</v>
      </c>
      <c r="P27" s="18" t="n">
        <f aca="false">MAX(0,('My Inputs'!$B$4*12+P26)*(1+'Bank Products'!$E$19)-'Bank Products'!$F$19)</f>
        <v>356434.760889219</v>
      </c>
    </row>
    <row r="28" customFormat="false" ht="15" hidden="false" customHeight="false" outlineLevel="0" collapsed="false">
      <c r="A28" s="17" t="n">
        <v>26</v>
      </c>
      <c r="B28" s="18" t="n">
        <f aca="false">MAX(0,('My Inputs'!$B$4*12+B27)*(1+'Bank Products'!$E$5)-'Bank Products'!$F$5)</f>
        <v>212475.873159937</v>
      </c>
      <c r="C28" s="18" t="n">
        <f aca="false">MAX(0,('My Inputs'!$B$4*12+C27)*(1+'Bank Products'!$E$6)-'Bank Products'!$F$6)</f>
        <v>257537.986895602</v>
      </c>
      <c r="D28" s="18" t="n">
        <f aca="false">MAX(0,('My Inputs'!$B$4*12+D27)*(1+'Bank Products'!$E$7)-'Bank Products'!$F$7)</f>
        <v>370330.400844467</v>
      </c>
      <c r="E28" s="18" t="n">
        <f aca="false">MAX(0,('My Inputs'!$B$4*12+E27)*(1+'Bank Products'!$E$8)-'Bank Products'!$F$8)</f>
        <v>209412.77922104</v>
      </c>
      <c r="F28" s="18" t="n">
        <f aca="false">MAX(0,('My Inputs'!$B$4*12+F27)*(1+'Bank Products'!$E$9)-'Bank Products'!$F$9)</f>
        <v>261446.278535398</v>
      </c>
      <c r="G28" s="18" t="n">
        <f aca="false">MAX(0,('My Inputs'!$B$4*12+G27)*(1+'Bank Products'!$E$10)-'Bank Products'!$F$10)</f>
        <v>361644.203832097</v>
      </c>
      <c r="H28" s="18" t="n">
        <f aca="false">MAX(0,('My Inputs'!$B$4*12+H27)*(1+'Bank Products'!$E$11)-'Bank Products'!$F$11)</f>
        <v>210937.707801839</v>
      </c>
      <c r="I28" s="18" t="n">
        <f aca="false">MAX(0,('My Inputs'!$B$4*12+I27)*(1+'Bank Products'!$E$12)-'Bank Products'!$F$12)</f>
        <v>259483.574541095</v>
      </c>
      <c r="J28" s="18" t="n">
        <f aca="false">MAX(0,('My Inputs'!$B$4*12+J27)*(1+'Bank Products'!$E$13)-'Bank Products'!$F$13)</f>
        <v>379251.821474129</v>
      </c>
      <c r="K28" s="18" t="n">
        <f aca="false">MAX(0,('My Inputs'!$B$4*12+K27)*(1+'Bank Products'!$E$14)-'Bank Products'!$F$14)</f>
        <v>207900.966641569</v>
      </c>
      <c r="L28" s="18" t="n">
        <f aca="false">MAX(0,('My Inputs'!$B$4*12+L27)*(1+'Bank Products'!$E$15)-'Bank Products'!$F$15)</f>
        <v>265423.669217949</v>
      </c>
      <c r="M28" s="18" t="n">
        <f aca="false">MAX(0,('My Inputs'!$B$4*12+M27)*(1+'Bank Products'!$E$16)-'Bank Products'!$F$16)</f>
        <v>353186.823499042</v>
      </c>
      <c r="N28" s="18" t="n">
        <f aca="false">MAX(0,('My Inputs'!$B$4*12+N27)*(1+'Bank Products'!$E$17)-'Bank Products'!$F$17)</f>
        <v>214027.397198011</v>
      </c>
      <c r="O28" s="18" t="n">
        <f aca="false">MAX(0,('My Inputs'!$B$4*12+O27)*(1+'Bank Products'!$E$18)-'Bank Products'!$F$18)</f>
        <v>253697.53574467</v>
      </c>
      <c r="P28" s="18" t="n">
        <f aca="false">MAX(0,('My Inputs'!$B$4*12+P27)*(1+'Bank Products'!$E$19)-'Bank Products'!$F$19)</f>
        <v>384108.359590394</v>
      </c>
    </row>
    <row r="29" customFormat="false" ht="15" hidden="false" customHeight="false" outlineLevel="0" collapsed="false">
      <c r="A29" s="17" t="n">
        <v>27</v>
      </c>
      <c r="B29" s="18" t="n">
        <f aca="false">MAX(0,('My Inputs'!$B$4*12+B28)*(1+'Bank Products'!$E$5)-'Bank Products'!$F$5)</f>
        <v>223063.866496296</v>
      </c>
      <c r="C29" s="18" t="n">
        <f aca="false">MAX(0,('My Inputs'!$B$4*12+C28)*(1+'Bank Products'!$E$6)-'Bank Products'!$F$6)</f>
        <v>272498.278450052</v>
      </c>
      <c r="D29" s="18" t="n">
        <f aca="false">MAX(0,('My Inputs'!$B$4*12+D28)*(1+'Bank Products'!$E$7)-'Bank Products'!$F$7)</f>
        <v>397969.398893024</v>
      </c>
      <c r="E29" s="18" t="n">
        <f aca="false">MAX(0,('My Inputs'!$B$4*12+E28)*(1+'Bank Products'!$E$8)-'Bank Products'!$F$8)</f>
        <v>219721.03480546</v>
      </c>
      <c r="F29" s="18" t="n">
        <f aca="false">MAX(0,('My Inputs'!$B$4*12+F28)*(1+'Bank Products'!$E$9)-'Bank Products'!$F$9)</f>
        <v>276806.898284137</v>
      </c>
      <c r="G29" s="18" t="n">
        <f aca="false">MAX(0,('My Inputs'!$B$4*12+G28)*(1+'Bank Products'!$E$10)-'Bank Products'!$F$10)</f>
        <v>388232.279246695</v>
      </c>
      <c r="H29" s="18" t="n">
        <f aca="false">MAX(0,('My Inputs'!$B$4*12+H28)*(1+'Bank Products'!$E$11)-'Bank Products'!$F$11)</f>
        <v>221384.930811777</v>
      </c>
      <c r="I29" s="18" t="n">
        <f aca="false">MAX(0,('My Inputs'!$B$4*12+I28)*(1+'Bank Products'!$E$12)-'Bank Products'!$F$12)</f>
        <v>274642.757862763</v>
      </c>
      <c r="J29" s="18" t="n">
        <f aca="false">MAX(0,('My Inputs'!$B$4*12+J28)*(1+'Bank Products'!$E$13)-'Bank Products'!$F$13)</f>
        <v>407981.678941103</v>
      </c>
      <c r="K29" s="18" t="n">
        <f aca="false">MAX(0,('My Inputs'!$B$4*12+K28)*(1+'Bank Products'!$E$14)-'Bank Products'!$F$14)</f>
        <v>218072.03549108</v>
      </c>
      <c r="L29" s="18" t="n">
        <f aca="false">MAX(0,('My Inputs'!$B$4*12+L28)*(1+'Bank Products'!$E$15)-'Bank Products'!$F$15)</f>
        <v>281194.921309795</v>
      </c>
      <c r="M29" s="18" t="n">
        <f aca="false">MAX(0,('My Inputs'!$B$4*12+M28)*(1+'Bank Products'!$E$16)-'Bank Products'!$F$16)</f>
        <v>378762.50537974</v>
      </c>
      <c r="N29" s="18" t="n">
        <f aca="false">MAX(0,('My Inputs'!$B$4*12+N28)*(1+'Bank Products'!$E$17)-'Bank Products'!$F$17)</f>
        <v>224757.986237768</v>
      </c>
      <c r="O29" s="18" t="n">
        <f aca="false">MAX(0,('My Inputs'!$B$4*12+O28)*(1+'Bank Products'!$E$18)-'Bank Products'!$F$18)</f>
        <v>268267.554424244</v>
      </c>
      <c r="P29" s="18" t="n">
        <f aca="false">MAX(0,('My Inputs'!$B$4*12+P28)*(1+'Bank Products'!$E$19)-'Bank Products'!$F$19)</f>
        <v>413436.8394939</v>
      </c>
    </row>
    <row r="30" customFormat="false" ht="15" hidden="false" customHeight="false" outlineLevel="0" collapsed="false">
      <c r="A30" s="17" t="n">
        <v>28</v>
      </c>
      <c r="B30" s="18" t="n">
        <f aca="false">MAX(0,('My Inputs'!$B$4*12+B29)*(1+'Bank Products'!$E$5)-'Bank Products'!$F$5)</f>
        <v>233874.207692718</v>
      </c>
      <c r="C30" s="18" t="n">
        <f aca="false">MAX(0,('My Inputs'!$B$4*12+C29)*(1+'Bank Products'!$E$6)-'Bank Products'!$F$6)</f>
        <v>287967.219917354</v>
      </c>
      <c r="D30" s="18" t="n">
        <f aca="false">MAX(0,('My Inputs'!$B$4*12+D29)*(1+'Bank Products'!$E$7)-'Bank Products'!$F$7)</f>
        <v>427197.639329373</v>
      </c>
      <c r="E30" s="18" t="n">
        <f aca="false">MAX(0,('My Inputs'!$B$4*12+E29)*(1+'Bank Products'!$E$8)-'Bank Products'!$F$8)</f>
        <v>230235.45550157</v>
      </c>
      <c r="F30" s="18" t="n">
        <f aca="false">MAX(0,('My Inputs'!$B$4*12+F29)*(1+'Bank Products'!$E$9)-'Bank Products'!$F$9)</f>
        <v>292705.139724082</v>
      </c>
      <c r="G30" s="18" t="n">
        <f aca="false">MAX(0,('My Inputs'!$B$4*12+G29)*(1+'Bank Products'!$E$10)-'Bank Products'!$F$10)</f>
        <v>416309.28688451</v>
      </c>
      <c r="H30" s="18" t="n">
        <f aca="false">MAX(0,('My Inputs'!$B$4*12+H29)*(1+'Bank Products'!$E$11)-'Bank Products'!$F$11)</f>
        <v>232046.321893418</v>
      </c>
      <c r="I30" s="18" t="n">
        <f aca="false">MAX(0,('My Inputs'!$B$4*12+I29)*(1+'Bank Products'!$E$12)-'Bank Products'!$F$12)</f>
        <v>290324.933009028</v>
      </c>
      <c r="J30" s="18" t="n">
        <f aca="false">MAX(0,('My Inputs'!$B$4*12+J29)*(1+'Bank Products'!$E$13)-'Bank Products'!$F$13)</f>
        <v>438406.597998628</v>
      </c>
      <c r="K30" s="18" t="n">
        <f aca="false">MAX(0,('My Inputs'!$B$4*12+K29)*(1+'Bank Products'!$E$14)-'Bank Products'!$F$14)</f>
        <v>228441.440183156</v>
      </c>
      <c r="L30" s="18" t="n">
        <f aca="false">MAX(0,('My Inputs'!$B$4*12+L29)*(1+'Bank Products'!$E$15)-'Bank Products'!$F$15)</f>
        <v>297533.938476948</v>
      </c>
      <c r="M30" s="18" t="n">
        <f aca="false">MAX(0,('My Inputs'!$B$4*12+M29)*(1+'Bank Products'!$E$16)-'Bank Products'!$F$16)</f>
        <v>405732.061922936</v>
      </c>
      <c r="N30" s="18" t="n">
        <f aca="false">MAX(0,('My Inputs'!$B$4*12+N29)*(1+'Bank Products'!$E$17)-'Bank Products'!$F$17)</f>
        <v>235719.28294188</v>
      </c>
      <c r="O30" s="18" t="n">
        <f aca="false">MAX(0,('My Inputs'!$B$4*12+O29)*(1+'Bank Products'!$E$18)-'Bank Products'!$F$18)</f>
        <v>283318.383720244</v>
      </c>
      <c r="P30" s="18" t="n">
        <f aca="false">MAX(0,('My Inputs'!$B$4*12+P29)*(1+'Bank Products'!$E$19)-'Bank Products'!$F$19)</f>
        <v>444519.162495635</v>
      </c>
    </row>
    <row r="31" customFormat="false" ht="15" hidden="false" customHeight="false" outlineLevel="0" collapsed="false">
      <c r="A31" s="17" t="n">
        <v>29</v>
      </c>
      <c r="B31" s="18" t="n">
        <f aca="false">MAX(0,('My Inputs'!$B$4*12+B30)*(1+'Bank Products'!$E$5)-'Bank Products'!$F$5)</f>
        <v>244911.566054265</v>
      </c>
      <c r="C31" s="18" t="n">
        <f aca="false">MAX(0,('My Inputs'!$B$4*12+C30)*(1+'Bank Products'!$E$6)-'Bank Products'!$F$6)</f>
        <v>303962.105394544</v>
      </c>
      <c r="D31" s="18" t="n">
        <f aca="false">MAX(0,('My Inputs'!$B$4*12+D30)*(1+'Bank Products'!$E$7)-'Bank Products'!$F$7)</f>
        <v>458106.503590812</v>
      </c>
      <c r="E31" s="18" t="n">
        <f aca="false">MAX(0,('My Inputs'!$B$4*12+E30)*(1+'Bank Products'!$E$8)-'Bank Products'!$F$8)</f>
        <v>240960.164611601</v>
      </c>
      <c r="F31" s="18" t="n">
        <f aca="false">MAX(0,('My Inputs'!$B$4*12+F30)*(1+'Bank Products'!$E$9)-'Bank Products'!$F$9)</f>
        <v>309159.819614424</v>
      </c>
      <c r="G31" s="18" t="n">
        <f aca="false">MAX(0,('My Inputs'!$B$4*12+G30)*(1+'Bank Products'!$E$10)-'Bank Products'!$F$10)</f>
        <v>445958.606950042</v>
      </c>
      <c r="H31" s="18" t="n">
        <f aca="false">MAX(0,('My Inputs'!$B$4*12+H30)*(1+'Bank Products'!$E$11)-'Bank Products'!$F$11)</f>
        <v>242926.271492233</v>
      </c>
      <c r="I31" s="18" t="n">
        <f aca="false">MAX(0,('My Inputs'!$B$4*12+I30)*(1+'Bank Products'!$E$12)-'Bank Products'!$F$12)</f>
        <v>306548.14319784</v>
      </c>
      <c r="J31" s="18" t="n">
        <f aca="false">MAX(0,('My Inputs'!$B$4*12+J30)*(1+'Bank Products'!$E$13)-'Bank Products'!$F$13)</f>
        <v>470626.587280547</v>
      </c>
      <c r="K31" s="18" t="n">
        <f aca="false">MAX(0,('My Inputs'!$B$4*12+K30)*(1+'Bank Products'!$E$14)-'Bank Products'!$F$14)</f>
        <v>239013.048266728</v>
      </c>
      <c r="L31" s="18" t="n">
        <f aca="false">MAX(0,('My Inputs'!$B$4*12+L30)*(1+'Bank Products'!$E$15)-'Bank Products'!$F$15)</f>
        <v>314461.160262118</v>
      </c>
      <c r="M31" s="18" t="n">
        <f aca="false">MAX(0,('My Inputs'!$B$4*12+M30)*(1+'Bank Products'!$E$16)-'Bank Products'!$F$16)</f>
        <v>434171.459297736</v>
      </c>
      <c r="N31" s="18" t="n">
        <f aca="false">MAX(0,('My Inputs'!$B$4*12+N30)*(1+'Bank Products'!$E$17)-'Bank Products'!$F$17)</f>
        <v>246916.247525131</v>
      </c>
      <c r="O31" s="18" t="n">
        <f aca="false">MAX(0,('My Inputs'!$B$4*12+O30)*(1+'Bank Products'!$E$18)-'Bank Products'!$F$18)</f>
        <v>298865.890383012</v>
      </c>
      <c r="P31" s="18" t="n">
        <f aca="false">MAX(0,('My Inputs'!$B$4*12+P30)*(1+'Bank Products'!$E$19)-'Bank Products'!$F$19)</f>
        <v>477460.208412874</v>
      </c>
    </row>
    <row r="32" customFormat="false" ht="15" hidden="false" customHeight="false" outlineLevel="0" collapsed="false">
      <c r="A32" s="17" t="n">
        <v>30</v>
      </c>
      <c r="B32" s="18" t="n">
        <f aca="false">MAX(0,('My Inputs'!$B$4*12+B31)*(1+'Bank Products'!$E$5)-'Bank Products'!$F$5)</f>
        <v>256180.708941405</v>
      </c>
      <c r="C32" s="18" t="n">
        <f aca="false">MAX(0,('My Inputs'!$B$4*12+C31)*(1+'Bank Products'!$E$6)-'Bank Products'!$F$6)</f>
        <v>320500.816977959</v>
      </c>
      <c r="D32" s="18" t="n">
        <f aca="false">MAX(0,('My Inputs'!$B$4*12+D31)*(1+'Bank Products'!$E$7)-'Bank Products'!$F$7)</f>
        <v>490792.627547283</v>
      </c>
      <c r="E32" s="18" t="n">
        <f aca="false">MAX(0,('My Inputs'!$B$4*12+E31)*(1+'Bank Products'!$E$8)-'Bank Products'!$F$8)</f>
        <v>251899.367903833</v>
      </c>
      <c r="F32" s="18" t="n">
        <f aca="false">MAX(0,('My Inputs'!$B$4*12+F31)*(1+'Bank Products'!$E$9)-'Bank Products'!$F$9)</f>
        <v>326190.413300929</v>
      </c>
      <c r="G32" s="18" t="n">
        <f aca="false">MAX(0,('My Inputs'!$B$4*12+G31)*(1+'Bank Products'!$E$10)-'Bank Products'!$F$10)</f>
        <v>477268.288939245</v>
      </c>
      <c r="H32" s="18" t="n">
        <f aca="false">MAX(0,('My Inputs'!$B$4*12+H31)*(1+'Bank Products'!$E$11)-'Bank Products'!$F$11)</f>
        <v>254029.260057824</v>
      </c>
      <c r="I32" s="18" t="n">
        <f aca="false">MAX(0,('My Inputs'!$B$4*12+I31)*(1+'Bank Products'!$E$12)-'Bank Products'!$F$12)</f>
        <v>323331.054138165</v>
      </c>
      <c r="J32" s="18" t="n">
        <f aca="false">MAX(0,('My Inputs'!$B$4*12+J31)*(1+'Bank Products'!$E$13)-'Bank Products'!$F$13)</f>
        <v>504747.555930099</v>
      </c>
      <c r="K32" s="18" t="n">
        <f aca="false">MAX(0,('My Inputs'!$B$4*12+K31)*(1+'Bank Products'!$E$14)-'Bank Products'!$F$14)</f>
        <v>249790.802707929</v>
      </c>
      <c r="L32" s="18" t="n">
        <f aca="false">MAX(0,('My Inputs'!$B$4*12+L31)*(1+'Bank Products'!$E$15)-'Bank Products'!$F$15)</f>
        <v>331997.762031554</v>
      </c>
      <c r="M32" s="18" t="n">
        <f aca="false">MAX(0,('My Inputs'!$B$4*12+M31)*(1+'Bank Products'!$E$16)-'Bank Products'!$F$16)</f>
        <v>464160.803829463</v>
      </c>
      <c r="N32" s="18" t="n">
        <f aca="false">MAX(0,('My Inputs'!$B$4*12+N31)*(1+'Bank Products'!$E$17)-'Bank Products'!$F$17)</f>
        <v>258353.946846921</v>
      </c>
      <c r="O32" s="18" t="n">
        <f aca="false">MAX(0,('My Inputs'!$B$4*12+O31)*(1+'Bank Products'!$E$18)-'Bank Products'!$F$18)</f>
        <v>314926.464765652</v>
      </c>
      <c r="P32" s="18" t="n">
        <f aca="false">MAX(0,('My Inputs'!$B$4*12+P31)*(1+'Bank Products'!$E$19)-'Bank Products'!$F$19)</f>
        <v>512371.128875964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20"/>
    <col collapsed="false" customWidth="true" hidden="false" outlineLevel="0" max="4" min="4" style="0" width="16"/>
    <col collapsed="false" customWidth="true" hidden="false" outlineLevel="0" max="5" min="5" style="0" width="20"/>
    <col collapsed="false" customWidth="true" hidden="false" outlineLevel="0" max="6" min="6" style="0" width="18"/>
    <col collapsed="false" customWidth="true" hidden="false" outlineLevel="0" max="8" min="7" style="0" width="12"/>
    <col collapsed="false" customWidth="true" hidden="false" outlineLevel="0" max="9" min="9" style="0" width="14"/>
    <col collapsed="false" customWidth="true" hidden="false" outlineLevel="0" max="10" min="10" style="0" width="34"/>
  </cols>
  <sheetData>
    <row r="1" customFormat="false" ht="17.35" hidden="false" customHeight="false" outlineLevel="0" collapsed="false">
      <c r="A1" s="1" t="s">
        <v>200</v>
      </c>
    </row>
    <row r="2" customFormat="false" ht="15" hidden="false" customHeight="false" outlineLevel="0" collapsed="false">
      <c r="A2" s="5" t="s">
        <v>201</v>
      </c>
    </row>
    <row r="4" customFormat="false" ht="15" hidden="false" customHeight="false" outlineLevel="0" collapsed="false">
      <c r="A4" s="19" t="s">
        <v>202</v>
      </c>
      <c r="B4" s="19" t="str">
        <f aca="false">INDEX($A$9:$A$23,MATCH(MAX($C$9:$C$23),$C$9:$C$23,0))&amp;" "&amp;INDEX($B$9:$B$23,MATCH(MAX($C$9:$C$23),$C$9:$C$23,0))</f>
        <v>CIBC Index fund / ETF</v>
      </c>
    </row>
    <row r="5" customFormat="false" ht="15" hidden="false" customHeight="false" outlineLevel="0" collapsed="false">
      <c r="A5" s="19" t="s">
        <v>203</v>
      </c>
      <c r="B5" s="20" t="n">
        <f aca="false">MAX($C$9:$C$23)</f>
        <v>87310.301889841</v>
      </c>
    </row>
    <row r="6" customFormat="false" ht="15" hidden="false" customHeight="false" outlineLevel="0" collapsed="false">
      <c r="A6" s="19" t="s">
        <v>204</v>
      </c>
      <c r="B6" s="19" t="n">
        <f aca="false">INDEX($F$9:$F$23,MATCH(MAX($C$9:$C$23),$C$9:$C$23,0))</f>
        <v>6</v>
      </c>
    </row>
    <row r="7" customFormat="false" ht="15" hidden="false" customHeight="false" outlineLevel="0" collapsed="false">
      <c r="A7" s="19" t="s">
        <v>205</v>
      </c>
    </row>
    <row r="8" customFormat="false" ht="42" hidden="false" customHeight="true" outlineLevel="0" collapsed="false">
      <c r="A8" s="8" t="s">
        <v>183</v>
      </c>
      <c r="B8" s="8" t="s">
        <v>184</v>
      </c>
      <c r="C8" s="8" t="s">
        <v>206</v>
      </c>
      <c r="D8" s="8" t="s">
        <v>207</v>
      </c>
      <c r="E8" s="8" t="s">
        <v>208</v>
      </c>
      <c r="F8" s="8" t="s">
        <v>209</v>
      </c>
      <c r="G8" s="8" t="s">
        <v>210</v>
      </c>
      <c r="H8" s="8" t="s">
        <v>211</v>
      </c>
      <c r="I8" s="8" t="s">
        <v>212</v>
      </c>
      <c r="J8" s="8" t="s">
        <v>213</v>
      </c>
    </row>
    <row r="9" customFormat="false" ht="15" hidden="false" customHeight="false" outlineLevel="0" collapsed="false">
      <c r="A9" s="21" t="str">
        <f aca="false">'Bank Products'!A5</f>
        <v>RBC</v>
      </c>
      <c r="B9" s="21" t="str">
        <f aca="false">'Bank Products'!B5</f>
        <v>High-interest savings</v>
      </c>
      <c r="C9" s="22" t="n">
        <f aca="false">INDEX(Projection!B$2:B$32,'My Inputs'!$B$7+1)</f>
        <v>69847.4737909368</v>
      </c>
      <c r="D9" s="22" t="n">
        <f aca="false">'My Inputs'!$B$6+12*'My Inputs'!$B$4*'My Inputs'!$B$7</f>
        <v>62000</v>
      </c>
      <c r="E9" s="22" t="n">
        <f aca="false">C9-D9</f>
        <v>7847.47379093683</v>
      </c>
      <c r="F9" s="23" t="n">
        <f aca="false">IF(COUNTIF(Projection!B$2:B$32,"&lt;"&amp;'My Inputs'!$B$5)&gt;30,"Not in 30 yrs",COUNTIF(Projection!B$2:B$32,"&lt;"&amp;'My Inputs'!$B$5))</f>
        <v>7</v>
      </c>
      <c r="G9" s="23" t="n">
        <f aca="false">RANK(C9,$C$9:$C$23)</f>
        <v>12</v>
      </c>
      <c r="H9" s="24" t="n">
        <f aca="false">IF(C9=MAX($C$9:$C$23),C9,0)</f>
        <v>0</v>
      </c>
      <c r="I9" s="24" t="n">
        <f aca="false">IF(C9=MAX($C$9:$C$23),0,C9)</f>
        <v>69847.4737909368</v>
      </c>
      <c r="J9" s="25" t="str">
        <f aca="false">A9&amp;" "&amp;B9</f>
        <v>RBC High-interest savings</v>
      </c>
    </row>
    <row r="10" customFormat="false" ht="15" hidden="false" customHeight="false" outlineLevel="0" collapsed="false">
      <c r="A10" s="21" t="str">
        <f aca="false">'Bank Products'!A6</f>
        <v>RBC</v>
      </c>
      <c r="B10" s="21" t="str">
        <f aca="false">'Bank Products'!B6</f>
        <v>1-year GIC</v>
      </c>
      <c r="C10" s="22" t="n">
        <f aca="false">INDEX(Projection!C$2:C$32,'My Inputs'!$B$7+1)</f>
        <v>75240.1530838506</v>
      </c>
      <c r="D10" s="22" t="n">
        <f aca="false">'My Inputs'!$B$6+12*'My Inputs'!$B$4*'My Inputs'!$B$7</f>
        <v>62000</v>
      </c>
      <c r="E10" s="22" t="n">
        <f aca="false">C10-D10</f>
        <v>13240.1530838506</v>
      </c>
      <c r="F10" s="23" t="n">
        <f aca="false">IF(COUNTIF(Projection!C$2:C$32,"&lt;"&amp;'My Inputs'!$B$5)&gt;30,"Not in 30 yrs",COUNTIF(Projection!C$2:C$32,"&lt;"&amp;'My Inputs'!$B$5))</f>
        <v>7</v>
      </c>
      <c r="G10" s="23" t="n">
        <f aca="false">RANK(C10,$C$9:$C$23)</f>
        <v>9</v>
      </c>
      <c r="H10" s="24" t="n">
        <f aca="false">IF(C10=MAX($C$9:$C$23),C10,0)</f>
        <v>0</v>
      </c>
      <c r="I10" s="24" t="n">
        <f aca="false">IF(C10=MAX($C$9:$C$23),0,C10)</f>
        <v>75240.1530838506</v>
      </c>
      <c r="J10" s="25" t="str">
        <f aca="false">A10&amp;" "&amp;B10</f>
        <v>RBC 1-year GIC</v>
      </c>
    </row>
    <row r="11" customFormat="false" ht="15" hidden="false" customHeight="false" outlineLevel="0" collapsed="false">
      <c r="A11" s="21" t="str">
        <f aca="false">'Bank Products'!A7</f>
        <v>RBC</v>
      </c>
      <c r="B11" s="21" t="str">
        <f aca="false">'Bank Products'!B7</f>
        <v>Index fund / ETF</v>
      </c>
      <c r="C11" s="22" t="n">
        <f aca="false">INDEX(Projection!D$2:D$32,'My Inputs'!$B$7+1)</f>
        <v>86154.833960781</v>
      </c>
      <c r="D11" s="22" t="n">
        <f aca="false">'My Inputs'!$B$6+12*'My Inputs'!$B$4*'My Inputs'!$B$7</f>
        <v>62000</v>
      </c>
      <c r="E11" s="22" t="n">
        <f aca="false">C11-D11</f>
        <v>24154.833960781</v>
      </c>
      <c r="F11" s="23" t="n">
        <f aca="false">IF(COUNTIF(Projection!D$2:D$32,"&lt;"&amp;'My Inputs'!$B$5)&gt;30,"Not in 30 yrs",COUNTIF(Projection!D$2:D$32,"&lt;"&amp;'My Inputs'!$B$5))</f>
        <v>6</v>
      </c>
      <c r="G11" s="23" t="n">
        <f aca="false">RANK(C11,$C$9:$C$23)</f>
        <v>3</v>
      </c>
      <c r="H11" s="24" t="n">
        <f aca="false">IF(C11=MAX($C$9:$C$23),C11,0)</f>
        <v>0</v>
      </c>
      <c r="I11" s="24" t="n">
        <f aca="false">IF(C11=MAX($C$9:$C$23),0,C11)</f>
        <v>86154.833960781</v>
      </c>
      <c r="J11" s="25" t="str">
        <f aca="false">A11&amp;" "&amp;B11</f>
        <v>RBC Index fund / ETF</v>
      </c>
    </row>
    <row r="12" customFormat="false" ht="15" hidden="false" customHeight="false" outlineLevel="0" collapsed="false">
      <c r="A12" s="21" t="str">
        <f aca="false">'Bank Products'!A8</f>
        <v>TD</v>
      </c>
      <c r="B12" s="21" t="str">
        <f aca="false">'Bank Products'!B8</f>
        <v>High-interest savings</v>
      </c>
      <c r="C12" s="22" t="n">
        <f aca="false">INDEX(Projection!E$2:E$32,'My Inputs'!$B$7+1)</f>
        <v>69450.2813583852</v>
      </c>
      <c r="D12" s="22" t="n">
        <f aca="false">'My Inputs'!$B$6+12*'My Inputs'!$B$4*'My Inputs'!$B$7</f>
        <v>62000</v>
      </c>
      <c r="E12" s="22" t="n">
        <f aca="false">C12-D12</f>
        <v>7450.28135838523</v>
      </c>
      <c r="F12" s="23" t="n">
        <f aca="false">IF(COUNTIF(Projection!E$2:E$32,"&lt;"&amp;'My Inputs'!$B$5)&gt;30,"Not in 30 yrs",COUNTIF(Projection!E$2:E$32,"&lt;"&amp;'My Inputs'!$B$5))</f>
        <v>7</v>
      </c>
      <c r="G12" s="23" t="n">
        <f aca="false">RANK(C12,$C$9:$C$23)</f>
        <v>14</v>
      </c>
      <c r="H12" s="24" t="n">
        <f aca="false">IF(C12=MAX($C$9:$C$23),C12,0)</f>
        <v>0</v>
      </c>
      <c r="I12" s="24" t="n">
        <f aca="false">IF(C12=MAX($C$9:$C$23),0,C12)</f>
        <v>69450.2813583852</v>
      </c>
      <c r="J12" s="25" t="str">
        <f aca="false">A12&amp;" "&amp;B12</f>
        <v>TD High-interest savings</v>
      </c>
    </row>
    <row r="13" customFormat="false" ht="15" hidden="false" customHeight="false" outlineLevel="0" collapsed="false">
      <c r="A13" s="21" t="str">
        <f aca="false">'Bank Products'!A9</f>
        <v>TD</v>
      </c>
      <c r="B13" s="21" t="str">
        <f aca="false">'Bank Products'!B9</f>
        <v>1-year GIC</v>
      </c>
      <c r="C13" s="22" t="n">
        <f aca="false">INDEX(Projection!F$2:F$32,'My Inputs'!$B$7+1)</f>
        <v>75673.1490485899</v>
      </c>
      <c r="D13" s="22" t="n">
        <f aca="false">'My Inputs'!$B$6+12*'My Inputs'!$B$4*'My Inputs'!$B$7</f>
        <v>62000</v>
      </c>
      <c r="E13" s="22" t="n">
        <f aca="false">C13-D13</f>
        <v>13673.1490485899</v>
      </c>
      <c r="F13" s="23" t="n">
        <f aca="false">IF(COUNTIF(Projection!F$2:F$32,"&lt;"&amp;'My Inputs'!$B$5)&gt;30,"Not in 30 yrs",COUNTIF(Projection!F$2:F$32,"&lt;"&amp;'My Inputs'!$B$5))</f>
        <v>7</v>
      </c>
      <c r="G13" s="23" t="n">
        <f aca="false">RANK(C13,$C$9:$C$23)</f>
        <v>7</v>
      </c>
      <c r="H13" s="24" t="n">
        <f aca="false">IF(C13=MAX($C$9:$C$23),C13,0)</f>
        <v>0</v>
      </c>
      <c r="I13" s="24" t="n">
        <f aca="false">IF(C13=MAX($C$9:$C$23),0,C13)</f>
        <v>75673.1490485899</v>
      </c>
      <c r="J13" s="25" t="str">
        <f aca="false">A13&amp;" "&amp;B13</f>
        <v>TD 1-year GIC</v>
      </c>
    </row>
    <row r="14" customFormat="false" ht="15" hidden="false" customHeight="false" outlineLevel="0" collapsed="false">
      <c r="A14" s="21" t="str">
        <f aca="false">'Bank Products'!A10</f>
        <v>TD</v>
      </c>
      <c r="B14" s="21" t="str">
        <f aca="false">'Bank Products'!B10</f>
        <v>Index fund / ETF</v>
      </c>
      <c r="C14" s="22" t="n">
        <f aca="false">INDEX(Projection!G$2:G$32,'My Inputs'!$B$7+1)</f>
        <v>85410.0196122971</v>
      </c>
      <c r="D14" s="22" t="n">
        <f aca="false">'My Inputs'!$B$6+12*'My Inputs'!$B$4*'My Inputs'!$B$7</f>
        <v>62000</v>
      </c>
      <c r="E14" s="22" t="n">
        <f aca="false">C14-D14</f>
        <v>23410.0196122971</v>
      </c>
      <c r="F14" s="23" t="n">
        <f aca="false">IF(COUNTIF(Projection!G$2:G$32,"&lt;"&amp;'My Inputs'!$B$5)&gt;30,"Not in 30 yrs",COUNTIF(Projection!G$2:G$32,"&lt;"&amp;'My Inputs'!$B$5))</f>
        <v>6</v>
      </c>
      <c r="G14" s="23" t="n">
        <f aca="false">RANK(C14,$C$9:$C$23)</f>
        <v>4</v>
      </c>
      <c r="H14" s="24" t="n">
        <f aca="false">IF(C14=MAX($C$9:$C$23),C14,0)</f>
        <v>0</v>
      </c>
      <c r="I14" s="24" t="n">
        <f aca="false">IF(C14=MAX($C$9:$C$23),0,C14)</f>
        <v>85410.0196122971</v>
      </c>
      <c r="J14" s="25" t="str">
        <f aca="false">A14&amp;" "&amp;B14</f>
        <v>TD Index fund / ETF</v>
      </c>
    </row>
    <row r="15" customFormat="false" ht="15" hidden="false" customHeight="false" outlineLevel="0" collapsed="false">
      <c r="A15" s="21" t="str">
        <f aca="false">'Bank Products'!A11</f>
        <v>BMO</v>
      </c>
      <c r="B15" s="21" t="str">
        <f aca="false">'Bank Products'!B11</f>
        <v>High-interest savings</v>
      </c>
      <c r="C15" s="22" t="n">
        <f aca="false">INDEX(Projection!H$2:H$32,'My Inputs'!$B$7+1)</f>
        <v>69648.5713576116</v>
      </c>
      <c r="D15" s="22" t="n">
        <f aca="false">'My Inputs'!$B$6+12*'My Inputs'!$B$4*'My Inputs'!$B$7</f>
        <v>62000</v>
      </c>
      <c r="E15" s="22" t="n">
        <f aca="false">C15-D15</f>
        <v>7648.5713576116</v>
      </c>
      <c r="F15" s="23" t="n">
        <f aca="false">IF(COUNTIF(Projection!H$2:H$32,"&lt;"&amp;'My Inputs'!$B$5)&gt;30,"Not in 30 yrs",COUNTIF(Projection!H$2:H$32,"&lt;"&amp;'My Inputs'!$B$5))</f>
        <v>7</v>
      </c>
      <c r="G15" s="23" t="n">
        <f aca="false">RANK(C15,$C$9:$C$23)</f>
        <v>13</v>
      </c>
      <c r="H15" s="24" t="n">
        <f aca="false">IF(C15=MAX($C$9:$C$23),C15,0)</f>
        <v>0</v>
      </c>
      <c r="I15" s="24" t="n">
        <f aca="false">IF(C15=MAX($C$9:$C$23),0,C15)</f>
        <v>69648.5713576116</v>
      </c>
      <c r="J15" s="25" t="str">
        <f aca="false">A15&amp;" "&amp;B15</f>
        <v>BMO High-interest savings</v>
      </c>
    </row>
    <row r="16" customFormat="false" ht="15" hidden="false" customHeight="false" outlineLevel="0" collapsed="false">
      <c r="A16" s="21" t="str">
        <f aca="false">'Bank Products'!A12</f>
        <v>BMO</v>
      </c>
      <c r="B16" s="21" t="str">
        <f aca="false">'Bank Products'!B12</f>
        <v>1-year GIC</v>
      </c>
      <c r="C16" s="22" t="n">
        <f aca="false">INDEX(Projection!I$2:I$32,'My Inputs'!$B$7+1)</f>
        <v>75456.3175751837</v>
      </c>
      <c r="D16" s="22" t="n">
        <f aca="false">'My Inputs'!$B$6+12*'My Inputs'!$B$4*'My Inputs'!$B$7</f>
        <v>62000</v>
      </c>
      <c r="E16" s="22" t="n">
        <f aca="false">C16-D16</f>
        <v>13456.3175751837</v>
      </c>
      <c r="F16" s="23" t="n">
        <f aca="false">IF(COUNTIF(Projection!I$2:I$32,"&lt;"&amp;'My Inputs'!$B$5)&gt;30,"Not in 30 yrs",COUNTIF(Projection!I$2:I$32,"&lt;"&amp;'My Inputs'!$B$5))</f>
        <v>7</v>
      </c>
      <c r="G16" s="23" t="n">
        <f aca="false">RANK(C16,$C$9:$C$23)</f>
        <v>8</v>
      </c>
      <c r="H16" s="24" t="n">
        <f aca="false">IF(C16=MAX($C$9:$C$23),C16,0)</f>
        <v>0</v>
      </c>
      <c r="I16" s="24" t="n">
        <f aca="false">IF(C16=MAX($C$9:$C$23),0,C16)</f>
        <v>75456.3175751837</v>
      </c>
      <c r="J16" s="25" t="str">
        <f aca="false">A16&amp;" "&amp;B16</f>
        <v>BMO 1-year GIC</v>
      </c>
    </row>
    <row r="17" customFormat="false" ht="15" hidden="false" customHeight="false" outlineLevel="0" collapsed="false">
      <c r="A17" s="21" t="str">
        <f aca="false">'Bank Products'!A13</f>
        <v>BMO</v>
      </c>
      <c r="B17" s="21" t="str">
        <f aca="false">'Bank Products'!B13</f>
        <v>Index fund / ETF</v>
      </c>
      <c r="C17" s="22" t="n">
        <f aca="false">INDEX(Projection!J$2:J$32,'My Inputs'!$B$7+1)</f>
        <v>86906.5464450554</v>
      </c>
      <c r="D17" s="22" t="n">
        <f aca="false">'My Inputs'!$B$6+12*'My Inputs'!$B$4*'My Inputs'!$B$7</f>
        <v>62000</v>
      </c>
      <c r="E17" s="22" t="n">
        <f aca="false">C17-D17</f>
        <v>24906.5464450554</v>
      </c>
      <c r="F17" s="23" t="n">
        <f aca="false">IF(COUNTIF(Projection!J$2:J$32,"&lt;"&amp;'My Inputs'!$B$5)&gt;30,"Not in 30 yrs",COUNTIF(Projection!J$2:J$32,"&lt;"&amp;'My Inputs'!$B$5))</f>
        <v>6</v>
      </c>
      <c r="G17" s="23" t="n">
        <f aca="false">RANK(C17,$C$9:$C$23)</f>
        <v>2</v>
      </c>
      <c r="H17" s="24" t="n">
        <f aca="false">IF(C17=MAX($C$9:$C$23),C17,0)</f>
        <v>0</v>
      </c>
      <c r="I17" s="24" t="n">
        <f aca="false">IF(C17=MAX($C$9:$C$23),0,C17)</f>
        <v>86906.5464450554</v>
      </c>
      <c r="J17" s="25" t="str">
        <f aca="false">A17&amp;" "&amp;B17</f>
        <v>BMO Index fund / ETF</v>
      </c>
    </row>
    <row r="18" customFormat="false" ht="15" hidden="false" customHeight="false" outlineLevel="0" collapsed="false">
      <c r="A18" s="21" t="str">
        <f aca="false">'Bank Products'!A14</f>
        <v>Scotiabank</v>
      </c>
      <c r="B18" s="21" t="str">
        <f aca="false">'Bank Products'!B14</f>
        <v>High-interest savings</v>
      </c>
      <c r="C18" s="22" t="n">
        <f aca="false">INDEX(Projection!K$2:K$32,'My Inputs'!$B$7+1)</f>
        <v>69252.6019239623</v>
      </c>
      <c r="D18" s="22" t="n">
        <f aca="false">'My Inputs'!$B$6+12*'My Inputs'!$B$4*'My Inputs'!$B$7</f>
        <v>62000</v>
      </c>
      <c r="E18" s="22" t="n">
        <f aca="false">C18-D18</f>
        <v>7252.60192396231</v>
      </c>
      <c r="F18" s="23" t="n">
        <f aca="false">IF(COUNTIF(Projection!K$2:K$32,"&lt;"&amp;'My Inputs'!$B$5)&gt;30,"Not in 30 yrs",COUNTIF(Projection!K$2:K$32,"&lt;"&amp;'My Inputs'!$B$5))</f>
        <v>7</v>
      </c>
      <c r="G18" s="23" t="n">
        <f aca="false">RANK(C18,$C$9:$C$23)</f>
        <v>15</v>
      </c>
      <c r="H18" s="24" t="n">
        <f aca="false">IF(C18=MAX($C$9:$C$23),C18,0)</f>
        <v>0</v>
      </c>
      <c r="I18" s="24" t="n">
        <f aca="false">IF(C18=MAX($C$9:$C$23),0,C18)</f>
        <v>69252.6019239623</v>
      </c>
      <c r="J18" s="25" t="str">
        <f aca="false">A18&amp;" "&amp;B18</f>
        <v>Scotiabank High-interest savings</v>
      </c>
    </row>
    <row r="19" customFormat="false" ht="15" hidden="false" customHeight="false" outlineLevel="0" collapsed="false">
      <c r="A19" s="21" t="str">
        <f aca="false">'Bank Products'!A15</f>
        <v>Scotiabank</v>
      </c>
      <c r="B19" s="21" t="str">
        <f aca="false">'Bank Products'!B15</f>
        <v>1-year GIC</v>
      </c>
      <c r="C19" s="22" t="n">
        <f aca="false">INDEX(Projection!L$2:L$32,'My Inputs'!$B$7+1)</f>
        <v>76108.8210633238</v>
      </c>
      <c r="D19" s="22" t="n">
        <f aca="false">'My Inputs'!$B$6+12*'My Inputs'!$B$4*'My Inputs'!$B$7</f>
        <v>62000</v>
      </c>
      <c r="E19" s="22" t="n">
        <f aca="false">C19-D19</f>
        <v>14108.8210633237</v>
      </c>
      <c r="F19" s="23" t="n">
        <f aca="false">IF(COUNTIF(Projection!L$2:L$32,"&lt;"&amp;'My Inputs'!$B$5)&gt;30,"Not in 30 yrs",COUNTIF(Projection!L$2:L$32,"&lt;"&amp;'My Inputs'!$B$5))</f>
        <v>7</v>
      </c>
      <c r="G19" s="23" t="n">
        <f aca="false">RANK(C19,$C$9:$C$23)</f>
        <v>6</v>
      </c>
      <c r="H19" s="24" t="n">
        <f aca="false">IF(C19=MAX($C$9:$C$23),C19,0)</f>
        <v>0</v>
      </c>
      <c r="I19" s="24" t="n">
        <f aca="false">IF(C19=MAX($C$9:$C$23),0,C19)</f>
        <v>76108.8210633238</v>
      </c>
      <c r="J19" s="25" t="str">
        <f aca="false">A19&amp;" "&amp;B19</f>
        <v>Scotiabank 1-year GIC</v>
      </c>
    </row>
    <row r="20" customFormat="false" ht="15" hidden="false" customHeight="false" outlineLevel="0" collapsed="false">
      <c r="A20" s="21" t="str">
        <f aca="false">'Bank Products'!A16</f>
        <v>Scotiabank</v>
      </c>
      <c r="B20" s="21" t="str">
        <f aca="false">'Bank Products'!B16</f>
        <v>Index fund / ETF</v>
      </c>
      <c r="C20" s="22" t="n">
        <f aca="false">INDEX(Projection!M$2:M$32,'My Inputs'!$B$7+1)</f>
        <v>84672.041447836</v>
      </c>
      <c r="D20" s="22" t="n">
        <f aca="false">'My Inputs'!$B$6+12*'My Inputs'!$B$4*'My Inputs'!$B$7</f>
        <v>62000</v>
      </c>
      <c r="E20" s="22" t="n">
        <f aca="false">C20-D20</f>
        <v>22672.041447836</v>
      </c>
      <c r="F20" s="23" t="n">
        <f aca="false">IF(COUNTIF(Projection!M$2:M$32,"&lt;"&amp;'My Inputs'!$B$5)&gt;30,"Not in 30 yrs",COUNTIF(Projection!M$2:M$32,"&lt;"&amp;'My Inputs'!$B$5))</f>
        <v>6</v>
      </c>
      <c r="G20" s="23" t="n">
        <f aca="false">RANK(C20,$C$9:$C$23)</f>
        <v>5</v>
      </c>
      <c r="H20" s="24" t="n">
        <f aca="false">IF(C20=MAX($C$9:$C$23),C20,0)</f>
        <v>0</v>
      </c>
      <c r="I20" s="24" t="n">
        <f aca="false">IF(C20=MAX($C$9:$C$23),0,C20)</f>
        <v>84672.041447836</v>
      </c>
      <c r="J20" s="25" t="str">
        <f aca="false">A20&amp;" "&amp;B20</f>
        <v>Scotiabank Index fund / ETF</v>
      </c>
    </row>
    <row r="21" customFormat="false" ht="15" hidden="false" customHeight="false" outlineLevel="0" collapsed="false">
      <c r="A21" s="21" t="str">
        <f aca="false">'Bank Products'!A17</f>
        <v>CIBC</v>
      </c>
      <c r="B21" s="21" t="str">
        <f aca="false">'Bank Products'!B17</f>
        <v>High-interest savings</v>
      </c>
      <c r="C21" s="22" t="n">
        <f aca="false">INDEX(Projection!N$2:N$32,'My Inputs'!$B$7+1)</f>
        <v>70046.9905329713</v>
      </c>
      <c r="D21" s="22" t="n">
        <f aca="false">'My Inputs'!$B$6+12*'My Inputs'!$B$4*'My Inputs'!$B$7</f>
        <v>62000</v>
      </c>
      <c r="E21" s="22" t="n">
        <f aca="false">C21-D21</f>
        <v>8046.99053297128</v>
      </c>
      <c r="F21" s="23" t="n">
        <f aca="false">IF(COUNTIF(Projection!N$2:N$32,"&lt;"&amp;'My Inputs'!$B$5)&gt;30,"Not in 30 yrs",COUNTIF(Projection!N$2:N$32,"&lt;"&amp;'My Inputs'!$B$5))</f>
        <v>7</v>
      </c>
      <c r="G21" s="23" t="n">
        <f aca="false">RANK(C21,$C$9:$C$23)</f>
        <v>11</v>
      </c>
      <c r="H21" s="24" t="n">
        <f aca="false">IF(C21=MAX($C$9:$C$23),C21,0)</f>
        <v>0</v>
      </c>
      <c r="I21" s="24" t="n">
        <f aca="false">IF(C21=MAX($C$9:$C$23),0,C21)</f>
        <v>70046.9905329713</v>
      </c>
      <c r="J21" s="25" t="str">
        <f aca="false">A21&amp;" "&amp;B21</f>
        <v>CIBC High-interest savings</v>
      </c>
    </row>
    <row r="22" customFormat="false" ht="15" hidden="false" customHeight="false" outlineLevel="0" collapsed="false">
      <c r="A22" s="21" t="str">
        <f aca="false">'Bank Products'!A18</f>
        <v>CIBC</v>
      </c>
      <c r="B22" s="21" t="str">
        <f aca="false">'Bank Products'!B18</f>
        <v>1-year GIC</v>
      </c>
      <c r="C22" s="22" t="n">
        <f aca="false">INDEX(Projection!O$2:O$32,'My Inputs'!$B$7+1)</f>
        <v>74809.8169599179</v>
      </c>
      <c r="D22" s="22" t="n">
        <f aca="false">'My Inputs'!$B$6+12*'My Inputs'!$B$4*'My Inputs'!$B$7</f>
        <v>62000</v>
      </c>
      <c r="E22" s="22" t="n">
        <f aca="false">C22-D22</f>
        <v>12809.8169599179</v>
      </c>
      <c r="F22" s="23" t="n">
        <f aca="false">IF(COUNTIF(Projection!O$2:O$32,"&lt;"&amp;'My Inputs'!$B$5)&gt;30,"Not in 30 yrs",COUNTIF(Projection!O$2:O$32,"&lt;"&amp;'My Inputs'!$B$5))</f>
        <v>7</v>
      </c>
      <c r="G22" s="23" t="n">
        <f aca="false">RANK(C22,$C$9:$C$23)</f>
        <v>10</v>
      </c>
      <c r="H22" s="24" t="n">
        <f aca="false">IF(C22=MAX($C$9:$C$23),C22,0)</f>
        <v>0</v>
      </c>
      <c r="I22" s="24" t="n">
        <f aca="false">IF(C22=MAX($C$9:$C$23),0,C22)</f>
        <v>74809.8169599179</v>
      </c>
      <c r="J22" s="25" t="str">
        <f aca="false">A22&amp;" "&amp;B22</f>
        <v>CIBC 1-year GIC</v>
      </c>
    </row>
    <row r="23" customFormat="false" ht="15" hidden="false" customHeight="false" outlineLevel="0" collapsed="false">
      <c r="A23" s="21" t="str">
        <f aca="false">'Bank Products'!A19</f>
        <v>CIBC</v>
      </c>
      <c r="B23" s="21" t="str">
        <f aca="false">'Bank Products'!B19</f>
        <v>Index fund / ETF</v>
      </c>
      <c r="C23" s="22" t="n">
        <f aca="false">INDEX(Projection!P$2:P$32,'My Inputs'!$B$7+1)</f>
        <v>87310.301889841</v>
      </c>
      <c r="D23" s="22" t="n">
        <f aca="false">'My Inputs'!$B$6+12*'My Inputs'!$B$4*'My Inputs'!$B$7</f>
        <v>62000</v>
      </c>
      <c r="E23" s="22" t="n">
        <f aca="false">C23-D23</f>
        <v>25310.301889841</v>
      </c>
      <c r="F23" s="23" t="n">
        <f aca="false">IF(COUNTIF(Projection!P$2:P$32,"&lt;"&amp;'My Inputs'!$B$5)&gt;30,"Not in 30 yrs",COUNTIF(Projection!P$2:P$32,"&lt;"&amp;'My Inputs'!$B$5))</f>
        <v>6</v>
      </c>
      <c r="G23" s="23" t="n">
        <f aca="false">RANK(C23,$C$9:$C$23)</f>
        <v>1</v>
      </c>
      <c r="H23" s="24" t="n">
        <f aca="false">IF(C23=MAX($C$9:$C$23),C23,0)</f>
        <v>87310.301889841</v>
      </c>
      <c r="I23" s="24" t="n">
        <f aca="false">IF(C23=MAX($C$9:$C$23),0,C23)</f>
        <v>0</v>
      </c>
      <c r="J23" s="25" t="str">
        <f aca="false">A23&amp;" "&amp;B23</f>
        <v>CIBC Index fund / ETF</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2026-10-27T14:22:32Z</dcterms:created>
  <dc:creator>openpyxl</dc:creator>
  <dc:description/>
  <dc:language>en-US</dc:language>
  <cp:lastModifiedBy/>
  <dcterms:modified xsi:type="dcterms:W3CDTF">2026-10-27T10:22:35Z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